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sha\Desktop\"/>
    </mc:Choice>
  </mc:AlternateContent>
  <xr:revisionPtr revIDLastSave="0" documentId="13_ncr:1_{D1C98B08-21E2-43D6-86BA-1011F8617BEC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historical_2023_2025" sheetId="2" r:id="rId1"/>
    <sheet name="forecast_2026" sheetId="3" r:id="rId2"/>
    <sheet name="data_descrip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2" i="2"/>
</calcChain>
</file>

<file path=xl/sharedStrings.xml><?xml version="1.0" encoding="utf-8"?>
<sst xmlns="http://schemas.openxmlformats.org/spreadsheetml/2006/main" count="590" uniqueCount="113">
  <si>
    <t>month</t>
  </si>
  <si>
    <t>year</t>
  </si>
  <si>
    <t>vacancy</t>
  </si>
  <si>
    <t>has_internship</t>
  </si>
  <si>
    <t>staff_plan</t>
  </si>
  <si>
    <t>staff_fact</t>
  </si>
  <si>
    <t>staff_gap</t>
  </si>
  <si>
    <t>U_staff_attrition</t>
  </si>
  <si>
    <t>Q_intern_attrition</t>
  </si>
  <si>
    <t>interns_start</t>
  </si>
  <si>
    <t>interns_hired</t>
  </si>
  <si>
    <t>interns_to_staff</t>
  </si>
  <si>
    <t>interns_end</t>
  </si>
  <si>
    <t>start_groups</t>
  </si>
  <si>
    <t>group_limit</t>
  </si>
  <si>
    <t>internship_capacity</t>
  </si>
  <si>
    <t>contact_lag_days</t>
  </si>
  <si>
    <t>max_hire_monthly</t>
  </si>
  <si>
    <t>K_total_conversion</t>
  </si>
  <si>
    <t>K_stage1_conversion</t>
  </si>
  <si>
    <t>hire_fact</t>
  </si>
  <si>
    <t>contacts_fact</t>
  </si>
  <si>
    <t>candidates_fact</t>
  </si>
  <si>
    <t>2023-01</t>
  </si>
  <si>
    <t>Инспектор контроля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</si>
  <si>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</si>
  <si>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</si>
  <si>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</si>
  <si>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</si>
  <si>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</si>
  <si>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</si>
  <si>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</si>
  <si>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</si>
  <si>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</si>
  <si>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</si>
  <si>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</si>
  <si>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</si>
  <si>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</si>
  <si>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</si>
  <si>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</si>
  <si>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</si>
  <si>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</si>
  <si>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</si>
  <si>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</si>
  <si>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</si>
  <si>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</si>
  <si>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</si>
  <si>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</si>
  <si>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</si>
  <si>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</si>
  <si>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</si>
  <si>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</si>
  <si>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</si>
  <si>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</si>
  <si>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</si>
  <si>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</si>
  <si>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</si>
  <si>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</si>
  <si>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</si>
  <si>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</si>
  <si>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Инспектор безопасности</t>
  </si>
  <si>
    <t>Оператор техники</t>
  </si>
  <si>
    <t>Специалист обслуживания</t>
  </si>
  <si>
    <t>Оператор багажной системы</t>
  </si>
  <si>
    <t>planned_start_groups</t>
  </si>
  <si>
    <t>internship_duration_months</t>
  </si>
  <si>
    <t>K_total_expected</t>
  </si>
  <si>
    <t>K_stage1_expected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</si>
  <si>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</si>
  <si>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</si>
  <si>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</si>
  <si>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</si>
  <si>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</si>
  <si>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</si>
  <si>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</si>
  <si>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</si>
  <si>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</si>
  <si>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</si>
  <si>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</si>
  <si>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</si>
  <si>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base_K_total_conversion</t>
  </si>
  <si>
    <t>base_K_stage1_conversion</t>
  </si>
  <si>
    <t>column</t>
  </si>
  <si>
    <t>description</t>
  </si>
  <si>
    <t>Месяц в формате YYYY-MM.</t>
  </si>
  <si>
    <t>Год.</t>
  </si>
  <si>
    <t>Номер месяца 1–12.</t>
  </si>
  <si>
    <t>Название должности.</t>
  </si>
  <si>
    <t>Плановая численность основного штата.</t>
  </si>
  <si>
    <t>Фактическая численность основного штата.</t>
  </si>
  <si>
    <t>Недобор: max(0, staff_plan - staff_fact).</t>
  </si>
  <si>
    <t>Фактическая месячная текучесть основного штата.</t>
  </si>
  <si>
    <t>Фактическое месячное выбытие сотрудников-стажеров.</t>
  </si>
  <si>
    <t>Количество сотрудников-стажеров на начало месяца.</t>
  </si>
  <si>
    <t>Сколько сотрудников принято в стажерский контур.</t>
  </si>
  <si>
    <t>Сколько стажеров переведено в основной штат.</t>
  </si>
  <si>
    <t>Количество стажеров на конец месяца.</t>
  </si>
  <si>
    <t>Количество стартующих групп стажеров.</t>
  </si>
  <si>
    <t>Плановое количество стартующих групп стажеров.</t>
  </si>
  <si>
    <t>Лимит человек в одной группе стажеров.</t>
  </si>
  <si>
    <t>Максимальное количество сотрудников-стажеров одновременно.</t>
  </si>
  <si>
    <t>Длительность стажерского периода.</t>
  </si>
  <si>
    <t>Лаг от контакта до выхода/стартового оформления.</t>
  </si>
  <si>
    <t>Максимальный найм в месяц для ролей без стажерского периода.</t>
  </si>
  <si>
    <t>Сквозная конверсия воронки из контакта в найм.</t>
  </si>
  <si>
    <t>Конверсия первого этапа воронки.</t>
  </si>
  <si>
    <t>Ожидаемая сквозная конверсия для прогноза.</t>
  </si>
  <si>
    <t>Ожидаемая конверсия первого этапа для прогноза.</t>
  </si>
  <si>
    <t>Фактический найм/принятые сотрудники.</t>
  </si>
  <si>
    <t>Фактическое количество контактов.</t>
  </si>
  <si>
    <t>Фактическое количество соискателей.</t>
  </si>
  <si>
    <t>date</t>
  </si>
  <si>
    <t>Есть ли стажерский период (да/нет)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</si>
</sst>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rgb="FFFFFFFF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/>
    <xf numFmtId="0" fontId="4" fillId="0" borderId="0" xfId="1" applyFont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4" fillId="0" borderId="0" xfId="1" applyNumberFormat="1" applyFont="1"/>
  </cellXfs>
  <cellStyles count="2">
    <cellStyle name="Normal" xfId="1" xr:uid="{00000000-0005-0000-0000-000000000000}"/>
    <cellStyle name="Обычный" xfId="0" builtinId="0"/>
  </cellStyles>
  <dxfs count="55"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a8a45c9317a2485b" Type="http://schemas.microsoft.com/office/2022/11/relationships/FeaturePropertyBag" Target="featurePropertyBag/featurePropertyBag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icalData" displayName="HistoricalData" ref="A1:X181" dataDxfId="54">
  <autoFilter ref="A1:X181" xr:uid="{00000000-000C-0000-FFFF-FFFF00000000}"/>
  <tableColumns count="24">
    <tableColumn id="1" xr3:uid="{00000000-0010-0000-0000-000001000000}" name="date" dataDxfId="53"/>
    <tableColumn id="2" xr3:uid="{00000000-0010-0000-0000-000002000000}" name="year" dataDxfId="52"/>
    <tableColumn id="3" xr3:uid="{00000000-0010-0000-0000-000003000000}" name="month" dataDxfId="51"/>
    <tableColumn id="5" xr3:uid="{00000000-0010-0000-0000-000005000000}" name="vacancy" dataDxfId="50"/>
    <tableColumn id="6" xr3:uid="{00000000-0010-0000-0000-000006000000}" name="has_internship" dataDxfId="49"/>
    <tableColumn id="7" xr3:uid="{00000000-0010-0000-0000-000007000000}" name="staff_plan" dataDxfId="48"/>
    <tableColumn id="8" xr3:uid="{00000000-0010-0000-0000-000008000000}" name="staff_fact" dataDxfId="47"/>
    <tableColumn id="9" xr3:uid="{00000000-0010-0000-0000-000009000000}" name="staff_gap" dataDxfId="46">
      <calculatedColumnFormula>HistoricalData[[#This Row],[staff_plan]]-HistoricalData[[#This Row],[staff_fact]]</calculatedColumnFormula>
    </tableColumn>
    <tableColumn id="10" xr3:uid="{00000000-0010-0000-0000-00000A000000}" name="U_staff_attrition" dataDxfId="45"/>
    <tableColumn id="11" xr3:uid="{00000000-0010-0000-0000-00000B000000}" name="Q_intern_attrition" dataDxfId="44"/>
    <tableColumn id="12" xr3:uid="{00000000-0010-0000-0000-00000C000000}" name="interns_start" dataDxfId="43"/>
    <tableColumn id="13" xr3:uid="{00000000-0010-0000-0000-00000D000000}" name="interns_hired" dataDxfId="42"/>
    <tableColumn id="14" xr3:uid="{00000000-0010-0000-0000-00000E000000}" name="interns_to_staff" dataDxfId="41"/>
    <tableColumn id="15" xr3:uid="{00000000-0010-0000-0000-00000F000000}" name="interns_end" dataDxfId="40"/>
    <tableColumn id="16" xr3:uid="{00000000-0010-0000-0000-000010000000}" name="start_groups" dataDxfId="39"/>
    <tableColumn id="17" xr3:uid="{00000000-0010-0000-0000-000011000000}" name="group_limit" dataDxfId="38"/>
    <tableColumn id="18" xr3:uid="{00000000-0010-0000-0000-000012000000}" name="internship_capacity" dataDxfId="37"/>
    <tableColumn id="19" xr3:uid="{00000000-0010-0000-0000-000013000000}" name="contact_lag_days" dataDxfId="36"/>
    <tableColumn id="20" xr3:uid="{00000000-0010-0000-0000-000014000000}" name="max_hire_monthly" dataDxfId="35"/>
    <tableColumn id="21" xr3:uid="{00000000-0010-0000-0000-000015000000}" name="K_total_conversion" dataDxfId="34"/>
    <tableColumn id="22" xr3:uid="{00000000-0010-0000-0000-000016000000}" name="K_stage1_conversion" dataDxfId="33"/>
    <tableColumn id="23" xr3:uid="{00000000-0010-0000-0000-000017000000}" name="hire_fact" dataDxfId="32"/>
    <tableColumn id="24" xr3:uid="{00000000-0010-0000-0000-000018000000}" name="contacts_fact" dataDxfId="31"/>
    <tableColumn id="25" xr3:uid="{00000000-0010-0000-0000-000019000000}" name="candidates_fact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ecastInputs2026" displayName="ForecastInputs2026" ref="A1:N61" dataDxfId="29">
  <tableColumns count="14">
    <tableColumn id="1" xr3:uid="{00000000-0010-0000-0100-000001000000}" name="date" dataDxfId="28"/>
    <tableColumn id="2" xr3:uid="{00000000-0010-0000-0100-000002000000}" name="year" dataDxfId="27"/>
    <tableColumn id="3" xr3:uid="{00000000-0010-0000-0100-000003000000}" name="month" dataDxfId="26"/>
    <tableColumn id="5" xr3:uid="{00000000-0010-0000-0100-000005000000}" name="vacancy" dataDxfId="25"/>
    <tableColumn id="6" xr3:uid="{00000000-0010-0000-0100-000006000000}" name="has_internship" dataDxfId="24"/>
    <tableColumn id="7" xr3:uid="{00000000-0010-0000-0100-000007000000}" name="staff_plan" dataDxfId="23"/>
    <tableColumn id="10" xr3:uid="{00000000-0010-0000-0100-00000A000000}" name="planned_start_groups" dataDxfId="22"/>
    <tableColumn id="11" xr3:uid="{00000000-0010-0000-0100-00000B000000}" name="group_limit" dataDxfId="21"/>
    <tableColumn id="12" xr3:uid="{00000000-0010-0000-0100-00000C000000}" name="internship_capacity" dataDxfId="20"/>
    <tableColumn id="13" xr3:uid="{00000000-0010-0000-0100-00000D000000}" name="internship_duration_months" dataDxfId="19"/>
    <tableColumn id="14" xr3:uid="{00000000-0010-0000-0100-00000E000000}" name="contact_lag_days" dataDxfId="18"/>
    <tableColumn id="15" xr3:uid="{00000000-0010-0000-0100-00000F000000}" name="max_hire_monthly" dataDxfId="17"/>
    <tableColumn id="16" xr3:uid="{00000000-0010-0000-0100-000010000000}" name="K_total_expected" dataDxfId="16"/>
    <tableColumn id="17" xr3:uid="{00000000-0010-0000-0100-000011000000}" name="K_stage1_expected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Dictionary" displayName="DataDictionary" ref="A1:B29" headerRowDxfId="14" dataDxfId="13" totalsRowDxfId="12">
  <tableColumns count="2">
    <tableColumn id="1" xr3:uid="{00000000-0010-0000-0300-000001000000}" name="column" dataDxfId="11"/>
    <tableColumn id="2" xr3:uid="{00000000-0010-0000-0300-000002000000}" name="description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5FA278-3998-48CD-8D87-5A6946E0C643}" name="VacancyConfig6" displayName="VacancyConfig6" ref="F1:N6" dataDxfId="9">
  <tableColumns count="9">
    <tableColumn id="2" xr3:uid="{EE79E84D-C044-44A3-9445-FB97CAEA1CA0}" name="vacancy" dataDxfId="8"/>
    <tableColumn id="3" xr3:uid="{4446C75A-6443-4421-BDF0-BBCFA46F9672}" name="has_internship" dataDxfId="7"/>
    <tableColumn id="4" xr3:uid="{E15C905C-FA66-4604-95AF-A2A24B68357F}" name="internship_duration_months" dataDxfId="6"/>
    <tableColumn id="5" xr3:uid="{2AEA0D5D-56AF-4DB9-9F13-E4ECC0F2262F}" name="contact_lag_days" dataDxfId="5"/>
    <tableColumn id="6" xr3:uid="{481F6233-2588-4A39-8CE0-72664EF0265A}" name="group_limit" dataDxfId="4"/>
    <tableColumn id="7" xr3:uid="{9A7CB34A-F09E-49E7-9A28-8392DCE70E41}" name="internship_capacity" dataDxfId="3"/>
    <tableColumn id="8" xr3:uid="{289E6C43-9D44-4F4B-BE03-BA5A9B3567E0}" name="max_hire_monthly" dataDxfId="2"/>
    <tableColumn id="9" xr3:uid="{893E29E1-0C19-4F7F-9479-452D429C369A}" name="base_K_total_conversion" dataDxfId="1"/>
    <tableColumn id="10" xr3:uid="{BB817A2E-D2D3-40A2-9701-94FF8709C426}" name="base_K_stage1_conver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1"/>
  <sheetViews>
    <sheetView zoomScale="87" workbookViewId="0">
      <selection activeCell="W2" sqref="W2"/>
    </sheetView>
  </sheetViews>
  <sheetFormatPr defaultRowHeight="14"/>
  <cols>
    <col min="1" max="2" width="7.83203125" customWidth="1"/>
    <col min="3" max="3" width="8.75" customWidth="1"/>
    <col min="4" max="4" width="19.83203125" customWidth="1"/>
    <col min="5" max="9" width="16" customWidth="1"/>
    <col min="10" max="10" width="19.58203125" customWidth="1"/>
    <col min="11" max="16" width="16" customWidth="1"/>
    <col min="17" max="17" width="21.25" customWidth="1"/>
    <col min="18" max="18" width="21.5" customWidth="1"/>
    <col min="19" max="19" width="20.25" customWidth="1"/>
    <col min="20" max="20" width="23.1640625" bestFit="1" customWidth="1"/>
    <col min="21" max="21" width="22.25" customWidth="1"/>
    <col min="22" max="22" width="16" customWidth="1"/>
    <col min="23" max="23" width="22.33203125" customWidth="1"/>
    <col min="24" max="24" width="21.1640625" customWidth="1"/>
  </cols>
  <sheetData>
    <row r="1" spans="1:24" ht="21.4" customHeight="1">
      <c r="A1" s="1" t="s">
        <v>111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3" t="s">
        <v>23</v>
      </c>
      <c r="B2" s="3">
        <v>2023</v>
      </c>
      <c r="C2" s="3">
        <v>1</v>
      </c>
      <c r="D2" s="3" t="s">
        <v>24</v>
      </c>
      <c r="E2" s="4" t="b">
        <v>1</v>
      </c>
      <c r="F2" s="3">
        <v>520</v>
      </c>
      <c r="G2" s="3">
        <v>500</v>
      </c>
      <c r="H2" s="3">
        <f>HistoricalData[[#This Row],[staff_plan]]-HistoricalData[[#This Row],[staff_fact]]</f>
        <v>20</v>
      </c>
      <c r="I2" s="5">
        <v>2.01E-2</v>
      </c>
      <c r="J2" s="5">
        <v>9.4E-2</v>
      </c>
      <c r="K2" s="3">
        <v>26</v>
      </c>
      <c r="L2" s="3">
        <v>18</v>
      </c>
      <c r="M2" s="3">
        <v>6</v>
      </c>
      <c r="N2" s="3">
        <v>36</v>
      </c>
      <c r="O2" s="3">
        <v>2</v>
      </c>
      <c r="P2" s="3">
        <v>24</v>
      </c>
      <c r="Q2" s="3">
        <v>70</v>
      </c>
      <c r="R2" s="3">
        <v>28</v>
      </c>
      <c r="S2" s="3"/>
      <c r="T2" s="5">
        <v>0.1074</v>
      </c>
      <c r="U2" s="5">
        <v>0.4289</v>
      </c>
      <c r="V2" s="3">
        <v>18</v>
      </c>
      <c r="W2" s="3">
        <v>168</v>
      </c>
      <c r="X2" s="3">
        <v>392</v>
      </c>
    </row>
    <row r="3" spans="1:24">
      <c r="A3" s="3" t="s">
        <v>25</v>
      </c>
      <c r="B3" s="3">
        <v>2023</v>
      </c>
      <c r="C3" s="3">
        <v>2</v>
      </c>
      <c r="D3" s="3" t="s">
        <v>24</v>
      </c>
      <c r="E3" s="4" t="b">
        <v>1</v>
      </c>
      <c r="F3" s="3">
        <v>520</v>
      </c>
      <c r="G3" s="3">
        <v>502</v>
      </c>
      <c r="H3" s="3">
        <f>HistoricalData[[#This Row],[staff_plan]]-HistoricalData[[#This Row],[staff_fact]]</f>
        <v>18</v>
      </c>
      <c r="I3" s="5">
        <v>1.7600000000000001E-2</v>
      </c>
      <c r="J3" s="5">
        <v>7.7499999999999999E-2</v>
      </c>
      <c r="K3" s="3">
        <v>36</v>
      </c>
      <c r="L3" s="3">
        <v>15</v>
      </c>
      <c r="M3" s="3">
        <v>11</v>
      </c>
      <c r="N3" s="3">
        <v>37</v>
      </c>
      <c r="O3" s="3">
        <v>1</v>
      </c>
      <c r="P3" s="3">
        <v>24</v>
      </c>
      <c r="Q3" s="3">
        <v>70</v>
      </c>
      <c r="R3" s="3">
        <v>28</v>
      </c>
      <c r="S3" s="3"/>
      <c r="T3" s="5">
        <v>0.10979999999999999</v>
      </c>
      <c r="U3" s="5">
        <v>0.43009999999999998</v>
      </c>
      <c r="V3" s="3">
        <v>15</v>
      </c>
      <c r="W3" s="3">
        <v>137</v>
      </c>
      <c r="X3" s="3">
        <v>319</v>
      </c>
    </row>
    <row r="4" spans="1:24">
      <c r="A4" s="3" t="s">
        <v>26</v>
      </c>
      <c r="B4" s="3">
        <v>2023</v>
      </c>
      <c r="C4" s="3">
        <v>3</v>
      </c>
      <c r="D4" s="3" t="s">
        <v>24</v>
      </c>
      <c r="E4" s="4" t="b">
        <v>1</v>
      </c>
      <c r="F4" s="3">
        <v>520</v>
      </c>
      <c r="G4" s="3">
        <v>506</v>
      </c>
      <c r="H4" s="3">
        <f>HistoricalData[[#This Row],[staff_plan]]-HistoricalData[[#This Row],[staff_fact]]</f>
        <v>14</v>
      </c>
      <c r="I4" s="5">
        <v>1.7399999999999999E-2</v>
      </c>
      <c r="J4" s="5">
        <v>8.3099999999999993E-2</v>
      </c>
      <c r="K4" s="3">
        <v>37</v>
      </c>
      <c r="L4" s="3">
        <v>16</v>
      </c>
      <c r="M4" s="3">
        <v>13</v>
      </c>
      <c r="N4" s="3">
        <v>37</v>
      </c>
      <c r="O4" s="3">
        <v>1</v>
      </c>
      <c r="P4" s="3">
        <v>24</v>
      </c>
      <c r="Q4" s="3">
        <v>70</v>
      </c>
      <c r="R4" s="3">
        <v>28</v>
      </c>
      <c r="S4" s="3"/>
      <c r="T4" s="5">
        <v>9.74E-2</v>
      </c>
      <c r="U4" s="5">
        <v>0.43319999999999997</v>
      </c>
      <c r="V4" s="3">
        <v>16</v>
      </c>
      <c r="W4" s="3">
        <v>164</v>
      </c>
      <c r="X4" s="3">
        <v>379</v>
      </c>
    </row>
    <row r="5" spans="1:24">
      <c r="A5" s="3" t="s">
        <v>27</v>
      </c>
      <c r="B5" s="3">
        <v>2023</v>
      </c>
      <c r="C5" s="3">
        <v>4</v>
      </c>
      <c r="D5" s="3" t="s">
        <v>24</v>
      </c>
      <c r="E5" s="4" t="b">
        <v>1</v>
      </c>
      <c r="F5" s="3">
        <v>520</v>
      </c>
      <c r="G5" s="3">
        <v>508</v>
      </c>
      <c r="H5" s="3">
        <f>HistoricalData[[#This Row],[staff_plan]]-HistoricalData[[#This Row],[staff_fact]]</f>
        <v>12</v>
      </c>
      <c r="I5" s="5">
        <v>2.2100000000000002E-2</v>
      </c>
      <c r="J5" s="5">
        <v>0.1069</v>
      </c>
      <c r="K5" s="3">
        <v>37</v>
      </c>
      <c r="L5" s="3">
        <v>10</v>
      </c>
      <c r="M5" s="3">
        <v>13</v>
      </c>
      <c r="N5" s="3">
        <v>30</v>
      </c>
      <c r="O5" s="3">
        <v>2</v>
      </c>
      <c r="P5" s="3">
        <v>24</v>
      </c>
      <c r="Q5" s="3">
        <v>70</v>
      </c>
      <c r="R5" s="3">
        <v>28</v>
      </c>
      <c r="S5" s="3"/>
      <c r="T5" s="5">
        <v>9.9299999999999999E-2</v>
      </c>
      <c r="U5" s="5">
        <v>0.4294</v>
      </c>
      <c r="V5" s="3">
        <v>10</v>
      </c>
      <c r="W5" s="3">
        <v>101</v>
      </c>
      <c r="X5" s="3">
        <v>235</v>
      </c>
    </row>
    <row r="6" spans="1:24">
      <c r="A6" s="3" t="s">
        <v>28</v>
      </c>
      <c r="B6" s="3">
        <v>2023</v>
      </c>
      <c r="C6" s="3">
        <v>5</v>
      </c>
      <c r="D6" s="3" t="s">
        <v>24</v>
      </c>
      <c r="E6" s="4" t="b">
        <v>1</v>
      </c>
      <c r="F6" s="3">
        <v>521</v>
      </c>
      <c r="G6" s="3">
        <v>501</v>
      </c>
      <c r="H6" s="3">
        <f>HistoricalData[[#This Row],[staff_plan]]-HistoricalData[[#This Row],[staff_fact]]</f>
        <v>20</v>
      </c>
      <c r="I6" s="5">
        <v>2.69E-2</v>
      </c>
      <c r="J6" s="5">
        <v>0.1149</v>
      </c>
      <c r="K6" s="3">
        <v>30</v>
      </c>
      <c r="L6" s="3">
        <v>19</v>
      </c>
      <c r="M6" s="3">
        <v>7</v>
      </c>
      <c r="N6" s="3">
        <v>39</v>
      </c>
      <c r="O6" s="3">
        <v>3</v>
      </c>
      <c r="P6" s="3">
        <v>24</v>
      </c>
      <c r="Q6" s="3">
        <v>70</v>
      </c>
      <c r="R6" s="3">
        <v>28</v>
      </c>
      <c r="S6" s="3"/>
      <c r="T6" s="5">
        <v>9.7900000000000001E-2</v>
      </c>
      <c r="U6" s="5">
        <v>0.43780000000000002</v>
      </c>
      <c r="V6" s="3">
        <v>19</v>
      </c>
      <c r="W6" s="3">
        <v>194</v>
      </c>
      <c r="X6" s="3">
        <v>443</v>
      </c>
    </row>
    <row r="7" spans="1:24">
      <c r="A7" s="3" t="s">
        <v>29</v>
      </c>
      <c r="B7" s="3">
        <v>2023</v>
      </c>
      <c r="C7" s="3">
        <v>6</v>
      </c>
      <c r="D7" s="3" t="s">
        <v>24</v>
      </c>
      <c r="E7" s="4" t="b">
        <v>1</v>
      </c>
      <c r="F7" s="3">
        <v>521</v>
      </c>
      <c r="G7" s="3">
        <v>498</v>
      </c>
      <c r="H7" s="3">
        <f>HistoricalData[[#This Row],[staff_plan]]-HistoricalData[[#This Row],[staff_fact]]</f>
        <v>23</v>
      </c>
      <c r="I7" s="5">
        <v>2.81E-2</v>
      </c>
      <c r="J7" s="5">
        <v>0.1168</v>
      </c>
      <c r="K7" s="3">
        <v>39</v>
      </c>
      <c r="L7" s="3">
        <v>20</v>
      </c>
      <c r="M7" s="3">
        <v>11</v>
      </c>
      <c r="N7" s="3">
        <v>43</v>
      </c>
      <c r="O7" s="3">
        <v>3</v>
      </c>
      <c r="P7" s="3">
        <v>24</v>
      </c>
      <c r="Q7" s="3">
        <v>70</v>
      </c>
      <c r="R7" s="3">
        <v>28</v>
      </c>
      <c r="S7" s="3"/>
      <c r="T7" s="5">
        <v>0.10349999999999999</v>
      </c>
      <c r="U7" s="5">
        <v>0.41520000000000001</v>
      </c>
      <c r="V7" s="3">
        <v>20</v>
      </c>
      <c r="W7" s="3">
        <v>193</v>
      </c>
      <c r="X7" s="3">
        <v>465</v>
      </c>
    </row>
    <row r="8" spans="1:24">
      <c r="A8" s="3" t="s">
        <v>30</v>
      </c>
      <c r="B8" s="3">
        <v>2023</v>
      </c>
      <c r="C8" s="3">
        <v>7</v>
      </c>
      <c r="D8" s="3" t="s">
        <v>24</v>
      </c>
      <c r="E8" s="4" t="b">
        <v>1</v>
      </c>
      <c r="F8" s="3">
        <v>521</v>
      </c>
      <c r="G8" s="3">
        <v>500</v>
      </c>
      <c r="H8" s="3">
        <f>HistoricalData[[#This Row],[staff_plan]]-HistoricalData[[#This Row],[staff_fact]]</f>
        <v>21</v>
      </c>
      <c r="I8" s="5">
        <v>2.81E-2</v>
      </c>
      <c r="J8" s="5">
        <v>0.1305</v>
      </c>
      <c r="K8" s="3">
        <v>43</v>
      </c>
      <c r="L8" s="3">
        <v>20</v>
      </c>
      <c r="M8" s="3">
        <v>16</v>
      </c>
      <c r="N8" s="3">
        <v>41</v>
      </c>
      <c r="O8" s="3">
        <v>3</v>
      </c>
      <c r="P8" s="3">
        <v>24</v>
      </c>
      <c r="Q8" s="3">
        <v>70</v>
      </c>
      <c r="R8" s="3">
        <v>28</v>
      </c>
      <c r="S8" s="3"/>
      <c r="T8" s="5">
        <v>0.1011</v>
      </c>
      <c r="U8" s="5">
        <v>0.4289</v>
      </c>
      <c r="V8" s="3">
        <v>20</v>
      </c>
      <c r="W8" s="3">
        <v>198</v>
      </c>
      <c r="X8" s="3">
        <v>462</v>
      </c>
    </row>
    <row r="9" spans="1:24">
      <c r="A9" s="3" t="s">
        <v>31</v>
      </c>
      <c r="B9" s="3">
        <v>2023</v>
      </c>
      <c r="C9" s="3">
        <v>8</v>
      </c>
      <c r="D9" s="3" t="s">
        <v>24</v>
      </c>
      <c r="E9" s="4" t="b">
        <v>1</v>
      </c>
      <c r="F9" s="3">
        <v>521</v>
      </c>
      <c r="G9" s="3">
        <v>503</v>
      </c>
      <c r="H9" s="3">
        <f>HistoricalData[[#This Row],[staff_plan]]-HistoricalData[[#This Row],[staff_fact]]</f>
        <v>18</v>
      </c>
      <c r="I9" s="5">
        <v>2.5899999999999999E-2</v>
      </c>
      <c r="J9" s="5">
        <v>0.1162</v>
      </c>
      <c r="K9" s="3">
        <v>41</v>
      </c>
      <c r="L9" s="3">
        <v>21</v>
      </c>
      <c r="M9" s="3">
        <v>16</v>
      </c>
      <c r="N9" s="3">
        <v>41</v>
      </c>
      <c r="O9" s="3">
        <v>1</v>
      </c>
      <c r="P9" s="3">
        <v>24</v>
      </c>
      <c r="Q9" s="3">
        <v>70</v>
      </c>
      <c r="R9" s="3">
        <v>28</v>
      </c>
      <c r="S9" s="3"/>
      <c r="T9" s="5">
        <v>0.10589999999999999</v>
      </c>
      <c r="U9" s="5">
        <v>0.40179999999999999</v>
      </c>
      <c r="V9" s="3">
        <v>21</v>
      </c>
      <c r="W9" s="3">
        <v>198</v>
      </c>
      <c r="X9" s="3">
        <v>493</v>
      </c>
    </row>
    <row r="10" spans="1:24">
      <c r="A10" s="3" t="s">
        <v>32</v>
      </c>
      <c r="B10" s="3">
        <v>2023</v>
      </c>
      <c r="C10" s="3">
        <v>9</v>
      </c>
      <c r="D10" s="3" t="s">
        <v>24</v>
      </c>
      <c r="E10" s="4" t="b">
        <v>1</v>
      </c>
      <c r="F10" s="3">
        <v>521</v>
      </c>
      <c r="G10" s="3">
        <v>502</v>
      </c>
      <c r="H10" s="3">
        <f>HistoricalData[[#This Row],[staff_plan]]-HistoricalData[[#This Row],[staff_fact]]</f>
        <v>19</v>
      </c>
      <c r="I10" s="5">
        <v>2.1499999999999998E-2</v>
      </c>
      <c r="J10" s="5">
        <v>0.12559999999999999</v>
      </c>
      <c r="K10" s="3">
        <v>41</v>
      </c>
      <c r="L10" s="3">
        <v>18</v>
      </c>
      <c r="M10" s="3">
        <v>10</v>
      </c>
      <c r="N10" s="3">
        <v>44</v>
      </c>
      <c r="O10" s="3">
        <v>1</v>
      </c>
      <c r="P10" s="3">
        <v>24</v>
      </c>
      <c r="Q10" s="3">
        <v>70</v>
      </c>
      <c r="R10" s="3">
        <v>28</v>
      </c>
      <c r="S10" s="3"/>
      <c r="T10" s="5">
        <v>9.6500000000000002E-2</v>
      </c>
      <c r="U10" s="5">
        <v>0.38590000000000002</v>
      </c>
      <c r="V10" s="3">
        <v>18</v>
      </c>
      <c r="W10" s="3">
        <v>186</v>
      </c>
      <c r="X10" s="3">
        <v>482</v>
      </c>
    </row>
    <row r="11" spans="1:24">
      <c r="A11" s="3" t="s">
        <v>33</v>
      </c>
      <c r="B11" s="3">
        <v>2023</v>
      </c>
      <c r="C11" s="3">
        <v>10</v>
      </c>
      <c r="D11" s="3" t="s">
        <v>24</v>
      </c>
      <c r="E11" s="4" t="b">
        <v>1</v>
      </c>
      <c r="F11" s="3">
        <v>521</v>
      </c>
      <c r="G11" s="3">
        <v>505</v>
      </c>
      <c r="H11" s="3">
        <f>HistoricalData[[#This Row],[staff_plan]]-HistoricalData[[#This Row],[staff_fact]]</f>
        <v>16</v>
      </c>
      <c r="I11" s="5">
        <v>2.2599999999999999E-2</v>
      </c>
      <c r="J11" s="5">
        <v>0.1129</v>
      </c>
      <c r="K11" s="3">
        <v>44</v>
      </c>
      <c r="L11" s="3">
        <v>17</v>
      </c>
      <c r="M11" s="3">
        <v>14</v>
      </c>
      <c r="N11" s="3">
        <v>42</v>
      </c>
      <c r="O11" s="3">
        <v>1</v>
      </c>
      <c r="P11" s="3">
        <v>24</v>
      </c>
      <c r="Q11" s="3">
        <v>70</v>
      </c>
      <c r="R11" s="3">
        <v>28</v>
      </c>
      <c r="S11" s="3"/>
      <c r="T11" s="5">
        <v>0.1053</v>
      </c>
      <c r="U11" s="5">
        <v>0.44779999999999998</v>
      </c>
      <c r="V11" s="3">
        <v>17</v>
      </c>
      <c r="W11" s="3">
        <v>161</v>
      </c>
      <c r="X11" s="3">
        <v>360</v>
      </c>
    </row>
    <row r="12" spans="1:24">
      <c r="A12" s="3" t="s">
        <v>34</v>
      </c>
      <c r="B12" s="3">
        <v>2023</v>
      </c>
      <c r="C12" s="3">
        <v>11</v>
      </c>
      <c r="D12" s="3" t="s">
        <v>24</v>
      </c>
      <c r="E12" s="4" t="b">
        <v>1</v>
      </c>
      <c r="F12" s="3">
        <v>522</v>
      </c>
      <c r="G12" s="3">
        <v>509</v>
      </c>
      <c r="H12" s="3">
        <f>HistoricalData[[#This Row],[staff_plan]]-HistoricalData[[#This Row],[staff_fact]]</f>
        <v>13</v>
      </c>
      <c r="I12" s="5">
        <v>1.9300000000000001E-2</v>
      </c>
      <c r="J12" s="5">
        <v>0.1186</v>
      </c>
      <c r="K12" s="3">
        <v>42</v>
      </c>
      <c r="L12" s="3">
        <v>12</v>
      </c>
      <c r="M12" s="3">
        <v>14</v>
      </c>
      <c r="N12" s="3">
        <v>35</v>
      </c>
      <c r="O12" s="3">
        <v>1</v>
      </c>
      <c r="P12" s="3">
        <v>24</v>
      </c>
      <c r="Q12" s="3">
        <v>70</v>
      </c>
      <c r="R12" s="3">
        <v>28</v>
      </c>
      <c r="S12" s="3"/>
      <c r="T12" s="5">
        <v>9.8799999999999999E-2</v>
      </c>
      <c r="U12" s="5">
        <v>0.4582</v>
      </c>
      <c r="V12" s="3">
        <v>12</v>
      </c>
      <c r="W12" s="3">
        <v>121</v>
      </c>
      <c r="X12" s="3">
        <v>264</v>
      </c>
    </row>
    <row r="13" spans="1:24">
      <c r="A13" s="3" t="s">
        <v>35</v>
      </c>
      <c r="B13" s="3">
        <v>2023</v>
      </c>
      <c r="C13" s="3">
        <v>12</v>
      </c>
      <c r="D13" s="3" t="s">
        <v>24</v>
      </c>
      <c r="E13" s="4" t="b">
        <v>1</v>
      </c>
      <c r="F13" s="3">
        <v>522</v>
      </c>
      <c r="G13" s="3">
        <v>511</v>
      </c>
      <c r="H13" s="3">
        <f>HistoricalData[[#This Row],[staff_plan]]-HistoricalData[[#This Row],[staff_fact]]</f>
        <v>11</v>
      </c>
      <c r="I13" s="5">
        <v>2.2200000000000001E-2</v>
      </c>
      <c r="J13" s="5">
        <v>9.8799999999999999E-2</v>
      </c>
      <c r="K13" s="3">
        <v>35</v>
      </c>
      <c r="L13" s="3">
        <v>11</v>
      </c>
      <c r="M13" s="3">
        <v>13</v>
      </c>
      <c r="N13" s="3">
        <v>30</v>
      </c>
      <c r="O13" s="3">
        <v>1</v>
      </c>
      <c r="P13" s="3">
        <v>24</v>
      </c>
      <c r="Q13" s="3">
        <v>70</v>
      </c>
      <c r="R13" s="3">
        <v>28</v>
      </c>
      <c r="S13" s="3"/>
      <c r="T13" s="5">
        <v>0.1212</v>
      </c>
      <c r="U13" s="5">
        <v>0.44230000000000003</v>
      </c>
      <c r="V13" s="3">
        <v>11</v>
      </c>
      <c r="W13" s="3">
        <v>91</v>
      </c>
      <c r="X13" s="3">
        <v>206</v>
      </c>
    </row>
    <row r="14" spans="1:24">
      <c r="A14" s="3" t="s">
        <v>36</v>
      </c>
      <c r="B14" s="3">
        <v>2024</v>
      </c>
      <c r="C14" s="3">
        <v>1</v>
      </c>
      <c r="D14" s="3" t="s">
        <v>24</v>
      </c>
      <c r="E14" s="4" t="b">
        <v>1</v>
      </c>
      <c r="F14" s="3">
        <v>538</v>
      </c>
      <c r="G14" s="3">
        <v>510</v>
      </c>
      <c r="H14" s="3">
        <f>HistoricalData[[#This Row],[staff_plan]]-HistoricalData[[#This Row],[staff_fact]]</f>
        <v>28</v>
      </c>
      <c r="I14" s="5">
        <v>1.49E-2</v>
      </c>
      <c r="J14" s="5">
        <v>8.5800000000000001E-2</v>
      </c>
      <c r="K14" s="3">
        <v>30</v>
      </c>
      <c r="L14" s="3">
        <v>29</v>
      </c>
      <c r="M14" s="3">
        <v>7</v>
      </c>
      <c r="N14" s="3">
        <v>49</v>
      </c>
      <c r="O14" s="3">
        <v>2</v>
      </c>
      <c r="P14" s="3">
        <v>24</v>
      </c>
      <c r="Q14" s="3">
        <v>70</v>
      </c>
      <c r="R14" s="3">
        <v>28</v>
      </c>
      <c r="S14" s="3"/>
      <c r="T14" s="5">
        <v>0.11360000000000001</v>
      </c>
      <c r="U14" s="5">
        <v>0.3962</v>
      </c>
      <c r="V14" s="3">
        <v>29</v>
      </c>
      <c r="W14" s="3">
        <v>255</v>
      </c>
      <c r="X14" s="3">
        <v>644</v>
      </c>
    </row>
    <row r="15" spans="1:24">
      <c r="A15" s="3" t="s">
        <v>37</v>
      </c>
      <c r="B15" s="3">
        <v>2024</v>
      </c>
      <c r="C15" s="3">
        <v>2</v>
      </c>
      <c r="D15" s="3" t="s">
        <v>24</v>
      </c>
      <c r="E15" s="4" t="b">
        <v>1</v>
      </c>
      <c r="F15" s="3">
        <v>538</v>
      </c>
      <c r="G15" s="3">
        <v>517</v>
      </c>
      <c r="H15" s="3">
        <f>HistoricalData[[#This Row],[staff_plan]]-HistoricalData[[#This Row],[staff_fact]]</f>
        <v>21</v>
      </c>
      <c r="I15" s="5">
        <v>2.0199999999999999E-2</v>
      </c>
      <c r="J15" s="5">
        <v>8.9599999999999999E-2</v>
      </c>
      <c r="K15" s="3">
        <v>49</v>
      </c>
      <c r="L15" s="3">
        <v>22</v>
      </c>
      <c r="M15" s="3">
        <v>17</v>
      </c>
      <c r="N15" s="3">
        <v>50</v>
      </c>
      <c r="O15" s="3">
        <v>2</v>
      </c>
      <c r="P15" s="3">
        <v>24</v>
      </c>
      <c r="Q15" s="3">
        <v>70</v>
      </c>
      <c r="R15" s="3">
        <v>28</v>
      </c>
      <c r="S15" s="3"/>
      <c r="T15" s="5">
        <v>0.1048</v>
      </c>
      <c r="U15" s="5">
        <v>0.39360000000000001</v>
      </c>
      <c r="V15" s="3">
        <v>22</v>
      </c>
      <c r="W15" s="3">
        <v>210</v>
      </c>
      <c r="X15" s="3">
        <v>534</v>
      </c>
    </row>
    <row r="16" spans="1:24">
      <c r="A16" s="3" t="s">
        <v>38</v>
      </c>
      <c r="B16" s="3">
        <v>2024</v>
      </c>
      <c r="C16" s="3">
        <v>3</v>
      </c>
      <c r="D16" s="3" t="s">
        <v>24</v>
      </c>
      <c r="E16" s="4" t="b">
        <v>1</v>
      </c>
      <c r="F16" s="3">
        <v>538</v>
      </c>
      <c r="G16" s="3">
        <v>527</v>
      </c>
      <c r="H16" s="3">
        <f>HistoricalData[[#This Row],[staff_plan]]-HistoricalData[[#This Row],[staff_fact]]</f>
        <v>11</v>
      </c>
      <c r="I16" s="5">
        <v>1.9400000000000001E-2</v>
      </c>
      <c r="J16" s="5">
        <v>8.6800000000000002E-2</v>
      </c>
      <c r="K16" s="3">
        <v>50</v>
      </c>
      <c r="L16" s="3">
        <v>9</v>
      </c>
      <c r="M16" s="3">
        <v>20</v>
      </c>
      <c r="N16" s="3">
        <v>35</v>
      </c>
      <c r="O16" s="3">
        <v>1</v>
      </c>
      <c r="P16" s="3">
        <v>24</v>
      </c>
      <c r="Q16" s="3">
        <v>70</v>
      </c>
      <c r="R16" s="3">
        <v>28</v>
      </c>
      <c r="S16" s="3"/>
      <c r="T16" s="5">
        <v>9.1600000000000001E-2</v>
      </c>
      <c r="U16" s="5">
        <v>0.42170000000000002</v>
      </c>
      <c r="V16" s="3">
        <v>9</v>
      </c>
      <c r="W16" s="3">
        <v>98</v>
      </c>
      <c r="X16" s="3">
        <v>232</v>
      </c>
    </row>
    <row r="17" spans="1:24">
      <c r="A17" s="3" t="s">
        <v>39</v>
      </c>
      <c r="B17" s="3">
        <v>2024</v>
      </c>
      <c r="C17" s="3">
        <v>4</v>
      </c>
      <c r="D17" s="3" t="s">
        <v>24</v>
      </c>
      <c r="E17" s="4" t="b">
        <v>1</v>
      </c>
      <c r="F17" s="3">
        <v>539</v>
      </c>
      <c r="G17" s="3">
        <v>522</v>
      </c>
      <c r="H17" s="3">
        <f>HistoricalData[[#This Row],[staff_plan]]-HistoricalData[[#This Row],[staff_fact]]</f>
        <v>17</v>
      </c>
      <c r="I17" s="5">
        <v>2.5399999999999999E-2</v>
      </c>
      <c r="J17" s="5">
        <v>9.4399999999999998E-2</v>
      </c>
      <c r="K17" s="3">
        <v>35</v>
      </c>
      <c r="L17" s="3">
        <v>19</v>
      </c>
      <c r="M17" s="3">
        <v>8</v>
      </c>
      <c r="N17" s="3">
        <v>43</v>
      </c>
      <c r="O17" s="3">
        <v>2</v>
      </c>
      <c r="P17" s="3">
        <v>24</v>
      </c>
      <c r="Q17" s="3">
        <v>70</v>
      </c>
      <c r="R17" s="3">
        <v>28</v>
      </c>
      <c r="S17" s="3"/>
      <c r="T17" s="5">
        <v>9.8500000000000004E-2</v>
      </c>
      <c r="U17" s="5">
        <v>0.40600000000000003</v>
      </c>
      <c r="V17" s="3">
        <v>19</v>
      </c>
      <c r="W17" s="3">
        <v>193</v>
      </c>
      <c r="X17" s="3">
        <v>475</v>
      </c>
    </row>
    <row r="18" spans="1:24">
      <c r="A18" s="3" t="s">
        <v>40</v>
      </c>
      <c r="B18" s="3">
        <v>2024</v>
      </c>
      <c r="C18" s="3">
        <v>5</v>
      </c>
      <c r="D18" s="3" t="s">
        <v>24</v>
      </c>
      <c r="E18" s="4" t="b">
        <v>1</v>
      </c>
      <c r="F18" s="3">
        <v>539</v>
      </c>
      <c r="G18" s="3">
        <v>520</v>
      </c>
      <c r="H18" s="3">
        <f>HistoricalData[[#This Row],[staff_plan]]-HistoricalData[[#This Row],[staff_fact]]</f>
        <v>19</v>
      </c>
      <c r="I18" s="5">
        <v>2.52E-2</v>
      </c>
      <c r="J18" s="5">
        <v>0.1032</v>
      </c>
      <c r="K18" s="3">
        <v>43</v>
      </c>
      <c r="L18" s="3">
        <v>20</v>
      </c>
      <c r="M18" s="3">
        <v>11</v>
      </c>
      <c r="N18" s="3">
        <v>48</v>
      </c>
      <c r="O18" s="3">
        <v>2</v>
      </c>
      <c r="P18" s="3">
        <v>24</v>
      </c>
      <c r="Q18" s="3">
        <v>70</v>
      </c>
      <c r="R18" s="3">
        <v>28</v>
      </c>
      <c r="S18" s="3"/>
      <c r="T18" s="5">
        <v>0.1138</v>
      </c>
      <c r="U18" s="5">
        <v>0.40660000000000002</v>
      </c>
      <c r="V18" s="3">
        <v>20</v>
      </c>
      <c r="W18" s="3">
        <v>176</v>
      </c>
      <c r="X18" s="3">
        <v>433</v>
      </c>
    </row>
    <row r="19" spans="1:24">
      <c r="A19" s="3" t="s">
        <v>41</v>
      </c>
      <c r="B19" s="3">
        <v>2024</v>
      </c>
      <c r="C19" s="3">
        <v>6</v>
      </c>
      <c r="D19" s="3" t="s">
        <v>24</v>
      </c>
      <c r="E19" s="4" t="b">
        <v>1</v>
      </c>
      <c r="F19" s="3">
        <v>539</v>
      </c>
      <c r="G19" s="3">
        <v>520</v>
      </c>
      <c r="H19" s="3">
        <f>HistoricalData[[#This Row],[staff_plan]]-HistoricalData[[#This Row],[staff_fact]]</f>
        <v>19</v>
      </c>
      <c r="I19" s="5">
        <v>3.3599999999999998E-2</v>
      </c>
      <c r="J19" s="5">
        <v>0.12520000000000001</v>
      </c>
      <c r="K19" s="3">
        <v>48</v>
      </c>
      <c r="L19" s="3">
        <v>22</v>
      </c>
      <c r="M19" s="3">
        <v>17</v>
      </c>
      <c r="N19" s="3">
        <v>47</v>
      </c>
      <c r="O19" s="3">
        <v>2</v>
      </c>
      <c r="P19" s="3">
        <v>24</v>
      </c>
      <c r="Q19" s="3">
        <v>70</v>
      </c>
      <c r="R19" s="3">
        <v>28</v>
      </c>
      <c r="S19" s="3"/>
      <c r="T19" s="5">
        <v>9.7100000000000006E-2</v>
      </c>
      <c r="U19" s="5">
        <v>0.43759999999999999</v>
      </c>
      <c r="V19" s="3">
        <v>22</v>
      </c>
      <c r="W19" s="3">
        <v>227</v>
      </c>
      <c r="X19" s="3">
        <v>519</v>
      </c>
    </row>
    <row r="20" spans="1:24">
      <c r="A20" s="3" t="s">
        <v>42</v>
      </c>
      <c r="B20" s="3">
        <v>2024</v>
      </c>
      <c r="C20" s="3">
        <v>7</v>
      </c>
      <c r="D20" s="3" t="s">
        <v>24</v>
      </c>
      <c r="E20" s="4" t="b">
        <v>1</v>
      </c>
      <c r="F20" s="3">
        <v>539</v>
      </c>
      <c r="G20" s="3">
        <v>520</v>
      </c>
      <c r="H20" s="3">
        <f>HistoricalData[[#This Row],[staff_plan]]-HistoricalData[[#This Row],[staff_fact]]</f>
        <v>19</v>
      </c>
      <c r="I20" s="5">
        <v>3.0599999999999999E-2</v>
      </c>
      <c r="J20" s="5">
        <v>0.12470000000000001</v>
      </c>
      <c r="K20" s="3">
        <v>47</v>
      </c>
      <c r="L20" s="3">
        <v>21</v>
      </c>
      <c r="M20" s="3">
        <v>16</v>
      </c>
      <c r="N20" s="3">
        <v>46</v>
      </c>
      <c r="O20" s="3">
        <v>2</v>
      </c>
      <c r="P20" s="3">
        <v>24</v>
      </c>
      <c r="Q20" s="3">
        <v>70</v>
      </c>
      <c r="R20" s="3">
        <v>28</v>
      </c>
      <c r="S20" s="3"/>
      <c r="T20" s="5">
        <v>0.1133</v>
      </c>
      <c r="U20" s="5">
        <v>0.41260000000000002</v>
      </c>
      <c r="V20" s="3">
        <v>21</v>
      </c>
      <c r="W20" s="3">
        <v>185</v>
      </c>
      <c r="X20" s="3">
        <v>448</v>
      </c>
    </row>
    <row r="21" spans="1:24">
      <c r="A21" s="3" t="s">
        <v>43</v>
      </c>
      <c r="B21" s="3">
        <v>2024</v>
      </c>
      <c r="C21" s="3">
        <v>8</v>
      </c>
      <c r="D21" s="3" t="s">
        <v>24</v>
      </c>
      <c r="E21" s="4" t="b">
        <v>1</v>
      </c>
      <c r="F21" s="3">
        <v>539</v>
      </c>
      <c r="G21" s="3">
        <v>520</v>
      </c>
      <c r="H21" s="3">
        <f>HistoricalData[[#This Row],[staff_plan]]-HistoricalData[[#This Row],[staff_fact]]</f>
        <v>19</v>
      </c>
      <c r="I21" s="5">
        <v>2.8500000000000001E-2</v>
      </c>
      <c r="J21" s="5">
        <v>0.12690000000000001</v>
      </c>
      <c r="K21" s="3">
        <v>46</v>
      </c>
      <c r="L21" s="3">
        <v>22</v>
      </c>
      <c r="M21" s="3">
        <v>15</v>
      </c>
      <c r="N21" s="3">
        <v>47</v>
      </c>
      <c r="O21" s="3">
        <v>1</v>
      </c>
      <c r="P21" s="3">
        <v>24</v>
      </c>
      <c r="Q21" s="3">
        <v>70</v>
      </c>
      <c r="R21" s="3">
        <v>28</v>
      </c>
      <c r="S21" s="3"/>
      <c r="T21" s="5">
        <v>9.5299999999999996E-2</v>
      </c>
      <c r="U21" s="5">
        <v>0.41920000000000002</v>
      </c>
      <c r="V21" s="3">
        <v>22</v>
      </c>
      <c r="W21" s="3">
        <v>231</v>
      </c>
      <c r="X21" s="3">
        <v>551</v>
      </c>
    </row>
    <row r="22" spans="1:24">
      <c r="A22" s="3" t="s">
        <v>44</v>
      </c>
      <c r="B22" s="3">
        <v>2024</v>
      </c>
      <c r="C22" s="3">
        <v>9</v>
      </c>
      <c r="D22" s="3" t="s">
        <v>24</v>
      </c>
      <c r="E22" s="4" t="b">
        <v>1</v>
      </c>
      <c r="F22" s="3">
        <v>539</v>
      </c>
      <c r="G22" s="3">
        <v>524</v>
      </c>
      <c r="H22" s="3">
        <f>HistoricalData[[#This Row],[staff_plan]]-HistoricalData[[#This Row],[staff_fact]]</f>
        <v>15</v>
      </c>
      <c r="I22" s="5">
        <v>2.6499999999999999E-2</v>
      </c>
      <c r="J22" s="5">
        <v>0.12690000000000001</v>
      </c>
      <c r="K22" s="3">
        <v>47</v>
      </c>
      <c r="L22" s="3">
        <v>18</v>
      </c>
      <c r="M22" s="3">
        <v>18</v>
      </c>
      <c r="N22" s="3">
        <v>41</v>
      </c>
      <c r="O22" s="3">
        <v>1</v>
      </c>
      <c r="P22" s="3">
        <v>24</v>
      </c>
      <c r="Q22" s="3">
        <v>70</v>
      </c>
      <c r="R22" s="3">
        <v>28</v>
      </c>
      <c r="S22" s="3"/>
      <c r="T22" s="5">
        <v>0.1119</v>
      </c>
      <c r="U22" s="5">
        <v>0.40339999999999998</v>
      </c>
      <c r="V22" s="3">
        <v>18</v>
      </c>
      <c r="W22" s="3">
        <v>161</v>
      </c>
      <c r="X22" s="3">
        <v>399</v>
      </c>
    </row>
    <row r="23" spans="1:24">
      <c r="A23" s="3" t="s">
        <v>45</v>
      </c>
      <c r="B23" s="3">
        <v>2024</v>
      </c>
      <c r="C23" s="3">
        <v>10</v>
      </c>
      <c r="D23" s="3" t="s">
        <v>24</v>
      </c>
      <c r="E23" s="4" t="b">
        <v>1</v>
      </c>
      <c r="F23" s="3">
        <v>540</v>
      </c>
      <c r="G23" s="3">
        <v>523</v>
      </c>
      <c r="H23" s="3">
        <f>HistoricalData[[#This Row],[staff_plan]]-HistoricalData[[#This Row],[staff_fact]]</f>
        <v>17</v>
      </c>
      <c r="I23" s="5">
        <v>2.3300000000000001E-2</v>
      </c>
      <c r="J23" s="5">
        <v>0.1172</v>
      </c>
      <c r="K23" s="3">
        <v>41</v>
      </c>
      <c r="L23" s="3">
        <v>21</v>
      </c>
      <c r="M23" s="3">
        <v>11</v>
      </c>
      <c r="N23" s="3">
        <v>46</v>
      </c>
      <c r="O23" s="3">
        <v>1</v>
      </c>
      <c r="P23" s="3">
        <v>24</v>
      </c>
      <c r="Q23" s="3">
        <v>70</v>
      </c>
      <c r="R23" s="3">
        <v>28</v>
      </c>
      <c r="S23" s="3"/>
      <c r="T23" s="5">
        <v>0.1071</v>
      </c>
      <c r="U23" s="5">
        <v>0.4027</v>
      </c>
      <c r="V23" s="3">
        <v>21</v>
      </c>
      <c r="W23" s="3">
        <v>196</v>
      </c>
      <c r="X23" s="3">
        <v>487</v>
      </c>
    </row>
    <row r="24" spans="1:24">
      <c r="A24" s="3" t="s">
        <v>46</v>
      </c>
      <c r="B24" s="3">
        <v>2024</v>
      </c>
      <c r="C24" s="3">
        <v>11</v>
      </c>
      <c r="D24" s="3" t="s">
        <v>24</v>
      </c>
      <c r="E24" s="4" t="b">
        <v>1</v>
      </c>
      <c r="F24" s="3">
        <v>540</v>
      </c>
      <c r="G24" s="3">
        <v>522</v>
      </c>
      <c r="H24" s="3">
        <f>HistoricalData[[#This Row],[staff_plan]]-HistoricalData[[#This Row],[staff_fact]]</f>
        <v>18</v>
      </c>
      <c r="I24" s="5">
        <v>2.1700000000000001E-2</v>
      </c>
      <c r="J24" s="5">
        <v>0.1148</v>
      </c>
      <c r="K24" s="3">
        <v>46</v>
      </c>
      <c r="L24" s="3">
        <v>20</v>
      </c>
      <c r="M24" s="3">
        <v>10</v>
      </c>
      <c r="N24" s="3">
        <v>51</v>
      </c>
      <c r="O24" s="3">
        <v>1</v>
      </c>
      <c r="P24" s="3">
        <v>24</v>
      </c>
      <c r="Q24" s="3">
        <v>70</v>
      </c>
      <c r="R24" s="3">
        <v>28</v>
      </c>
      <c r="S24" s="3"/>
      <c r="T24" s="5">
        <v>0.1139</v>
      </c>
      <c r="U24" s="5">
        <v>0.35680000000000001</v>
      </c>
      <c r="V24" s="3">
        <v>20</v>
      </c>
      <c r="W24" s="3">
        <v>176</v>
      </c>
      <c r="X24" s="3">
        <v>493</v>
      </c>
    </row>
    <row r="25" spans="1:24">
      <c r="A25" s="3" t="s">
        <v>47</v>
      </c>
      <c r="B25" s="3">
        <v>2024</v>
      </c>
      <c r="C25" s="3">
        <v>12</v>
      </c>
      <c r="D25" s="3" t="s">
        <v>24</v>
      </c>
      <c r="E25" s="4" t="b">
        <v>1</v>
      </c>
      <c r="F25" s="3">
        <v>540</v>
      </c>
      <c r="G25" s="3">
        <v>530</v>
      </c>
      <c r="H25" s="3">
        <f>HistoricalData[[#This Row],[staff_plan]]-HistoricalData[[#This Row],[staff_fact]]</f>
        <v>10</v>
      </c>
      <c r="I25" s="5">
        <v>1.7999999999999999E-2</v>
      </c>
      <c r="J25" s="5">
        <v>9.64E-2</v>
      </c>
      <c r="K25" s="3">
        <v>51</v>
      </c>
      <c r="L25" s="3">
        <v>12</v>
      </c>
      <c r="M25" s="3">
        <v>17</v>
      </c>
      <c r="N25" s="3">
        <v>41</v>
      </c>
      <c r="O25" s="3">
        <v>1</v>
      </c>
      <c r="P25" s="3">
        <v>24</v>
      </c>
      <c r="Q25" s="3">
        <v>70</v>
      </c>
      <c r="R25" s="3">
        <v>28</v>
      </c>
      <c r="S25" s="3"/>
      <c r="T25" s="5">
        <v>0.11</v>
      </c>
      <c r="U25" s="5">
        <v>0.44640000000000002</v>
      </c>
      <c r="V25" s="3">
        <v>12</v>
      </c>
      <c r="W25" s="3">
        <v>109</v>
      </c>
      <c r="X25" s="3">
        <v>244</v>
      </c>
    </row>
    <row r="26" spans="1:24">
      <c r="A26" s="3" t="s">
        <v>48</v>
      </c>
      <c r="B26" s="3">
        <v>2025</v>
      </c>
      <c r="C26" s="3">
        <v>1</v>
      </c>
      <c r="D26" s="3" t="s">
        <v>24</v>
      </c>
      <c r="E26" s="4" t="b">
        <v>1</v>
      </c>
      <c r="F26" s="3">
        <v>557</v>
      </c>
      <c r="G26" s="3">
        <v>538</v>
      </c>
      <c r="H26" s="3">
        <f>HistoricalData[[#This Row],[staff_plan]]-HistoricalData[[#This Row],[staff_fact]]</f>
        <v>19</v>
      </c>
      <c r="I26" s="5">
        <v>1.49E-2</v>
      </c>
      <c r="J26" s="5">
        <v>8.2100000000000006E-2</v>
      </c>
      <c r="K26" s="3">
        <v>41</v>
      </c>
      <c r="L26" s="3">
        <v>22</v>
      </c>
      <c r="M26" s="3">
        <v>16</v>
      </c>
      <c r="N26" s="3">
        <v>44</v>
      </c>
      <c r="O26" s="3">
        <v>1</v>
      </c>
      <c r="P26" s="3">
        <v>24</v>
      </c>
      <c r="Q26" s="3">
        <v>70</v>
      </c>
      <c r="R26" s="3">
        <v>28</v>
      </c>
      <c r="S26" s="3"/>
      <c r="T26" s="5">
        <v>0.1003</v>
      </c>
      <c r="U26" s="5">
        <v>0.38329999999999997</v>
      </c>
      <c r="V26" s="3">
        <v>22</v>
      </c>
      <c r="W26" s="3">
        <v>219</v>
      </c>
      <c r="X26" s="3">
        <v>571</v>
      </c>
    </row>
    <row r="27" spans="1:24">
      <c r="A27" s="3" t="s">
        <v>49</v>
      </c>
      <c r="B27" s="3">
        <v>2025</v>
      </c>
      <c r="C27" s="3">
        <v>2</v>
      </c>
      <c r="D27" s="3" t="s">
        <v>24</v>
      </c>
      <c r="E27" s="4" t="b">
        <v>1</v>
      </c>
      <c r="F27" s="3">
        <v>557</v>
      </c>
      <c r="G27" s="3">
        <v>540</v>
      </c>
      <c r="H27" s="3">
        <f>HistoricalData[[#This Row],[staff_plan]]-HistoricalData[[#This Row],[staff_fact]]</f>
        <v>17</v>
      </c>
      <c r="I27" s="5">
        <v>1.78E-2</v>
      </c>
      <c r="J27" s="5">
        <v>9.4299999999999995E-2</v>
      </c>
      <c r="K27" s="3">
        <v>44</v>
      </c>
      <c r="L27" s="3">
        <v>20</v>
      </c>
      <c r="M27" s="3">
        <v>12</v>
      </c>
      <c r="N27" s="3">
        <v>48</v>
      </c>
      <c r="O27" s="3">
        <v>1</v>
      </c>
      <c r="P27" s="3">
        <v>24</v>
      </c>
      <c r="Q27" s="3">
        <v>70</v>
      </c>
      <c r="R27" s="3">
        <v>28</v>
      </c>
      <c r="S27" s="3"/>
      <c r="T27" s="5">
        <v>9.9199999999999997E-2</v>
      </c>
      <c r="U27" s="5">
        <v>0.42570000000000002</v>
      </c>
      <c r="V27" s="3">
        <v>20</v>
      </c>
      <c r="W27" s="3">
        <v>202</v>
      </c>
      <c r="X27" s="3">
        <v>475</v>
      </c>
    </row>
    <row r="28" spans="1:24">
      <c r="A28" s="3" t="s">
        <v>50</v>
      </c>
      <c r="B28" s="3">
        <v>2025</v>
      </c>
      <c r="C28" s="3">
        <v>3</v>
      </c>
      <c r="D28" s="3" t="s">
        <v>24</v>
      </c>
      <c r="E28" s="4" t="b">
        <v>1</v>
      </c>
      <c r="F28" s="3">
        <v>557</v>
      </c>
      <c r="G28" s="3">
        <v>542</v>
      </c>
      <c r="H28" s="3">
        <f>HistoricalData[[#This Row],[staff_plan]]-HistoricalData[[#This Row],[staff_fact]]</f>
        <v>15</v>
      </c>
      <c r="I28" s="5">
        <v>2.35E-2</v>
      </c>
      <c r="J28" s="5">
        <v>9.2200000000000004E-2</v>
      </c>
      <c r="K28" s="3">
        <v>48</v>
      </c>
      <c r="L28" s="3">
        <v>16</v>
      </c>
      <c r="M28" s="3">
        <v>15</v>
      </c>
      <c r="N28" s="3">
        <v>45</v>
      </c>
      <c r="O28" s="3">
        <v>1</v>
      </c>
      <c r="P28" s="3">
        <v>24</v>
      </c>
      <c r="Q28" s="3">
        <v>70</v>
      </c>
      <c r="R28" s="3">
        <v>28</v>
      </c>
      <c r="S28" s="3"/>
      <c r="T28" s="5">
        <v>0.11749999999999999</v>
      </c>
      <c r="U28" s="5">
        <v>0.42180000000000001</v>
      </c>
      <c r="V28" s="3">
        <v>16</v>
      </c>
      <c r="W28" s="3">
        <v>136</v>
      </c>
      <c r="X28" s="3">
        <v>322</v>
      </c>
    </row>
    <row r="29" spans="1:24">
      <c r="A29" s="3" t="s">
        <v>51</v>
      </c>
      <c r="B29" s="3">
        <v>2025</v>
      </c>
      <c r="C29" s="3">
        <v>4</v>
      </c>
      <c r="D29" s="3" t="s">
        <v>24</v>
      </c>
      <c r="E29" s="4" t="b">
        <v>1</v>
      </c>
      <c r="F29" s="3">
        <v>557</v>
      </c>
      <c r="G29" s="3">
        <v>536</v>
      </c>
      <c r="H29" s="3">
        <f>HistoricalData[[#This Row],[staff_plan]]-HistoricalData[[#This Row],[staff_fact]]</f>
        <v>21</v>
      </c>
      <c r="I29" s="5">
        <v>2.69E-2</v>
      </c>
      <c r="J29" s="5">
        <v>9.98E-2</v>
      </c>
      <c r="K29" s="3">
        <v>45</v>
      </c>
      <c r="L29" s="3">
        <v>20</v>
      </c>
      <c r="M29" s="3">
        <v>9</v>
      </c>
      <c r="N29" s="3">
        <v>52</v>
      </c>
      <c r="O29" s="3">
        <v>3</v>
      </c>
      <c r="P29" s="3">
        <v>24</v>
      </c>
      <c r="Q29" s="3">
        <v>70</v>
      </c>
      <c r="R29" s="3">
        <v>28</v>
      </c>
      <c r="S29" s="3"/>
      <c r="T29" s="5">
        <v>9.8599999999999993E-2</v>
      </c>
      <c r="U29" s="5">
        <v>0.41820000000000002</v>
      </c>
      <c r="V29" s="3">
        <v>20</v>
      </c>
      <c r="W29" s="3">
        <v>203</v>
      </c>
      <c r="X29" s="3">
        <v>485</v>
      </c>
    </row>
    <row r="30" spans="1:24">
      <c r="A30" s="3" t="s">
        <v>52</v>
      </c>
      <c r="B30" s="3">
        <v>2025</v>
      </c>
      <c r="C30" s="3">
        <v>5</v>
      </c>
      <c r="D30" s="3" t="s">
        <v>24</v>
      </c>
      <c r="E30" s="4" t="b">
        <v>1</v>
      </c>
      <c r="F30" s="3">
        <v>558</v>
      </c>
      <c r="G30" s="3">
        <v>540</v>
      </c>
      <c r="H30" s="3">
        <f>HistoricalData[[#This Row],[staff_plan]]-HistoricalData[[#This Row],[staff_fact]]</f>
        <v>18</v>
      </c>
      <c r="I30" s="5">
        <v>2.5899999999999999E-2</v>
      </c>
      <c r="J30" s="5">
        <v>0.10970000000000001</v>
      </c>
      <c r="K30" s="3">
        <v>52</v>
      </c>
      <c r="L30" s="3">
        <v>22</v>
      </c>
      <c r="M30" s="3">
        <v>18</v>
      </c>
      <c r="N30" s="3">
        <v>50</v>
      </c>
      <c r="O30" s="3">
        <v>2</v>
      </c>
      <c r="P30" s="3">
        <v>24</v>
      </c>
      <c r="Q30" s="3">
        <v>70</v>
      </c>
      <c r="R30" s="3">
        <v>28</v>
      </c>
      <c r="S30" s="3"/>
      <c r="T30" s="5">
        <v>9.7199999999999995E-2</v>
      </c>
      <c r="U30" s="5">
        <v>0.41139999999999999</v>
      </c>
      <c r="V30" s="3">
        <v>22</v>
      </c>
      <c r="W30" s="3">
        <v>226</v>
      </c>
      <c r="X30" s="3">
        <v>549</v>
      </c>
    </row>
    <row r="31" spans="1:24">
      <c r="A31" s="3" t="s">
        <v>53</v>
      </c>
      <c r="B31" s="3">
        <v>2025</v>
      </c>
      <c r="C31" s="3">
        <v>6</v>
      </c>
      <c r="D31" s="3" t="s">
        <v>24</v>
      </c>
      <c r="E31" s="4" t="b">
        <v>1</v>
      </c>
      <c r="F31" s="3">
        <v>558</v>
      </c>
      <c r="G31" s="3">
        <v>536</v>
      </c>
      <c r="H31" s="3">
        <f>HistoricalData[[#This Row],[staff_plan]]-HistoricalData[[#This Row],[staff_fact]]</f>
        <v>22</v>
      </c>
      <c r="I31" s="5">
        <v>2.87E-2</v>
      </c>
      <c r="J31" s="5">
        <v>0.12</v>
      </c>
      <c r="K31" s="3">
        <v>50</v>
      </c>
      <c r="L31" s="3">
        <v>24</v>
      </c>
      <c r="M31" s="3">
        <v>11</v>
      </c>
      <c r="N31" s="3">
        <v>57</v>
      </c>
      <c r="O31" s="3">
        <v>3</v>
      </c>
      <c r="P31" s="3">
        <v>24</v>
      </c>
      <c r="Q31" s="3">
        <v>70</v>
      </c>
      <c r="R31" s="3">
        <v>28</v>
      </c>
      <c r="S31" s="3"/>
      <c r="T31" s="5">
        <v>9.5699999999999993E-2</v>
      </c>
      <c r="U31" s="5">
        <v>0.44040000000000001</v>
      </c>
      <c r="V31" s="3">
        <v>24</v>
      </c>
      <c r="W31" s="3">
        <v>251</v>
      </c>
      <c r="X31" s="3">
        <v>570</v>
      </c>
    </row>
    <row r="32" spans="1:24">
      <c r="A32" s="3" t="s">
        <v>54</v>
      </c>
      <c r="B32" s="3">
        <v>2025</v>
      </c>
      <c r="C32" s="3">
        <v>7</v>
      </c>
      <c r="D32" s="3" t="s">
        <v>24</v>
      </c>
      <c r="E32" s="4" t="b">
        <v>1</v>
      </c>
      <c r="F32" s="3">
        <v>558</v>
      </c>
      <c r="G32" s="3">
        <v>538</v>
      </c>
      <c r="H32" s="3">
        <f>HistoricalData[[#This Row],[staff_plan]]-HistoricalData[[#This Row],[staff_fact]]</f>
        <v>20</v>
      </c>
      <c r="I32" s="5">
        <v>3.2500000000000001E-2</v>
      </c>
      <c r="J32" s="5">
        <v>0.12479999999999999</v>
      </c>
      <c r="K32" s="3">
        <v>57</v>
      </c>
      <c r="L32" s="3">
        <v>22</v>
      </c>
      <c r="M32" s="3">
        <v>19</v>
      </c>
      <c r="N32" s="3">
        <v>53</v>
      </c>
      <c r="O32" s="3">
        <v>3</v>
      </c>
      <c r="P32" s="3">
        <v>24</v>
      </c>
      <c r="Q32" s="3">
        <v>70</v>
      </c>
      <c r="R32" s="3">
        <v>28</v>
      </c>
      <c r="S32" s="3"/>
      <c r="T32" s="5">
        <v>0.112</v>
      </c>
      <c r="U32" s="5">
        <v>0.435</v>
      </c>
      <c r="V32" s="3">
        <v>22</v>
      </c>
      <c r="W32" s="3">
        <v>196</v>
      </c>
      <c r="X32" s="3">
        <v>451</v>
      </c>
    </row>
    <row r="33" spans="1:24">
      <c r="A33" s="3" t="s">
        <v>55</v>
      </c>
      <c r="B33" s="3">
        <v>2025</v>
      </c>
      <c r="C33" s="3">
        <v>8</v>
      </c>
      <c r="D33" s="3" t="s">
        <v>24</v>
      </c>
      <c r="E33" s="4" t="b">
        <v>1</v>
      </c>
      <c r="F33" s="3">
        <v>558</v>
      </c>
      <c r="G33" s="3">
        <v>534</v>
      </c>
      <c r="H33" s="3">
        <f>HistoricalData[[#This Row],[staff_plan]]-HistoricalData[[#This Row],[staff_fact]]</f>
        <v>24</v>
      </c>
      <c r="I33" s="5">
        <v>3.1600000000000003E-2</v>
      </c>
      <c r="J33" s="5">
        <v>0.1263</v>
      </c>
      <c r="K33" s="3">
        <v>53</v>
      </c>
      <c r="L33" s="3">
        <v>25</v>
      </c>
      <c r="M33" s="3">
        <v>13</v>
      </c>
      <c r="N33" s="3">
        <v>58</v>
      </c>
      <c r="O33" s="3">
        <v>2</v>
      </c>
      <c r="P33" s="3">
        <v>24</v>
      </c>
      <c r="Q33" s="3">
        <v>70</v>
      </c>
      <c r="R33" s="3">
        <v>28</v>
      </c>
      <c r="S33" s="3"/>
      <c r="T33" s="5">
        <v>0.10390000000000001</v>
      </c>
      <c r="U33" s="5">
        <v>0.43230000000000002</v>
      </c>
      <c r="V33" s="3">
        <v>25</v>
      </c>
      <c r="W33" s="3">
        <v>241</v>
      </c>
      <c r="X33" s="3">
        <v>558</v>
      </c>
    </row>
    <row r="34" spans="1:24">
      <c r="A34" s="3" t="s">
        <v>56</v>
      </c>
      <c r="B34" s="3">
        <v>2025</v>
      </c>
      <c r="C34" s="3">
        <v>9</v>
      </c>
      <c r="D34" s="3" t="s">
        <v>24</v>
      </c>
      <c r="E34" s="4" t="b">
        <v>1</v>
      </c>
      <c r="F34" s="3">
        <v>558</v>
      </c>
      <c r="G34" s="3">
        <v>533</v>
      </c>
      <c r="H34" s="3">
        <f>HistoricalData[[#This Row],[staff_plan]]-HistoricalData[[#This Row],[staff_fact]]</f>
        <v>25</v>
      </c>
      <c r="I34" s="5">
        <v>2.4E-2</v>
      </c>
      <c r="J34" s="5">
        <v>0.12920000000000001</v>
      </c>
      <c r="K34" s="3">
        <v>58</v>
      </c>
      <c r="L34" s="3">
        <v>29</v>
      </c>
      <c r="M34" s="3">
        <v>12</v>
      </c>
      <c r="N34" s="3">
        <v>68</v>
      </c>
      <c r="O34" s="3">
        <v>2</v>
      </c>
      <c r="P34" s="3">
        <v>24</v>
      </c>
      <c r="Q34" s="3">
        <v>70</v>
      </c>
      <c r="R34" s="3">
        <v>28</v>
      </c>
      <c r="S34" s="3"/>
      <c r="T34" s="5">
        <v>0.1047</v>
      </c>
      <c r="U34" s="5">
        <v>0.41110000000000002</v>
      </c>
      <c r="V34" s="3">
        <v>29</v>
      </c>
      <c r="W34" s="3">
        <v>277</v>
      </c>
      <c r="X34" s="3">
        <v>674</v>
      </c>
    </row>
    <row r="35" spans="1:24">
      <c r="A35" s="3" t="s">
        <v>57</v>
      </c>
      <c r="B35" s="3">
        <v>2025</v>
      </c>
      <c r="C35" s="3">
        <v>10</v>
      </c>
      <c r="D35" s="3" t="s">
        <v>24</v>
      </c>
      <c r="E35" s="4" t="b">
        <v>1</v>
      </c>
      <c r="F35" s="3">
        <v>558</v>
      </c>
      <c r="G35" s="3">
        <v>534</v>
      </c>
      <c r="H35" s="3">
        <f>HistoricalData[[#This Row],[staff_plan]]-HistoricalData[[#This Row],[staff_fact]]</f>
        <v>24</v>
      </c>
      <c r="I35" s="5">
        <v>2.4199999999999999E-2</v>
      </c>
      <c r="J35" s="5">
        <v>0.1129</v>
      </c>
      <c r="K35" s="3">
        <v>68</v>
      </c>
      <c r="L35" s="3">
        <v>20</v>
      </c>
      <c r="M35" s="3">
        <v>14</v>
      </c>
      <c r="N35" s="3">
        <v>66</v>
      </c>
      <c r="O35" s="3">
        <v>2</v>
      </c>
      <c r="P35" s="3">
        <v>24</v>
      </c>
      <c r="Q35" s="3">
        <v>70</v>
      </c>
      <c r="R35" s="3">
        <v>28</v>
      </c>
      <c r="S35" s="3"/>
      <c r="T35" s="5">
        <v>0.1051</v>
      </c>
      <c r="U35" s="5">
        <v>0.40160000000000001</v>
      </c>
      <c r="V35" s="3">
        <v>20</v>
      </c>
      <c r="W35" s="3">
        <v>190</v>
      </c>
      <c r="X35" s="3">
        <v>473</v>
      </c>
    </row>
    <row r="36" spans="1:24">
      <c r="A36" s="3" t="s">
        <v>58</v>
      </c>
      <c r="B36" s="3">
        <v>2025</v>
      </c>
      <c r="C36" s="3">
        <v>11</v>
      </c>
      <c r="D36" s="3" t="s">
        <v>24</v>
      </c>
      <c r="E36" s="4" t="b">
        <v>1</v>
      </c>
      <c r="F36" s="3">
        <v>559</v>
      </c>
      <c r="G36" s="3">
        <v>548</v>
      </c>
      <c r="H36" s="3">
        <f>HistoricalData[[#This Row],[staff_plan]]-HistoricalData[[#This Row],[staff_fact]]</f>
        <v>11</v>
      </c>
      <c r="I36" s="5">
        <v>2.06E-2</v>
      </c>
      <c r="J36" s="5">
        <v>0.1128</v>
      </c>
      <c r="K36" s="3">
        <v>66</v>
      </c>
      <c r="L36" s="3">
        <v>13</v>
      </c>
      <c r="M36" s="3">
        <v>25</v>
      </c>
      <c r="N36" s="3">
        <v>47</v>
      </c>
      <c r="O36" s="3">
        <v>1</v>
      </c>
      <c r="P36" s="3">
        <v>24</v>
      </c>
      <c r="Q36" s="3">
        <v>70</v>
      </c>
      <c r="R36" s="3">
        <v>28</v>
      </c>
      <c r="S36" s="3"/>
      <c r="T36" s="5">
        <v>0.1053</v>
      </c>
      <c r="U36" s="5">
        <v>0.4214</v>
      </c>
      <c r="V36" s="3">
        <v>13</v>
      </c>
      <c r="W36" s="3">
        <v>123</v>
      </c>
      <c r="X36" s="3">
        <v>292</v>
      </c>
    </row>
    <row r="37" spans="1:24">
      <c r="A37" s="3" t="s">
        <v>59</v>
      </c>
      <c r="B37" s="3">
        <v>2025</v>
      </c>
      <c r="C37" s="3">
        <v>12</v>
      </c>
      <c r="D37" s="3" t="s">
        <v>24</v>
      </c>
      <c r="E37" s="4" t="b">
        <v>1</v>
      </c>
      <c r="F37" s="3">
        <v>559</v>
      </c>
      <c r="G37" s="3">
        <v>556</v>
      </c>
      <c r="H37" s="3">
        <f>HistoricalData[[#This Row],[staff_plan]]-HistoricalData[[#This Row],[staff_fact]]</f>
        <v>3</v>
      </c>
      <c r="I37" s="5">
        <v>1.6400000000000001E-2</v>
      </c>
      <c r="J37" s="5">
        <v>0.1077</v>
      </c>
      <c r="K37" s="3">
        <v>47</v>
      </c>
      <c r="L37" s="3">
        <v>3</v>
      </c>
      <c r="M37" s="3">
        <v>17</v>
      </c>
      <c r="N37" s="3">
        <v>28</v>
      </c>
      <c r="O37" s="3">
        <v>1</v>
      </c>
      <c r="P37" s="3">
        <v>24</v>
      </c>
      <c r="Q37" s="3">
        <v>70</v>
      </c>
      <c r="R37" s="3">
        <v>28</v>
      </c>
      <c r="S37" s="3"/>
      <c r="T37" s="5">
        <v>0.1007</v>
      </c>
      <c r="U37" s="5">
        <v>0.38179999999999997</v>
      </c>
      <c r="V37" s="3">
        <v>3</v>
      </c>
      <c r="W37" s="3">
        <v>30</v>
      </c>
      <c r="X37" s="3">
        <v>79</v>
      </c>
    </row>
    <row r="38" spans="1:24">
      <c r="A38" s="3" t="s">
        <v>23</v>
      </c>
      <c r="B38" s="3">
        <v>2023</v>
      </c>
      <c r="C38" s="3">
        <v>1</v>
      </c>
      <c r="D38" s="3" t="s">
        <v>60</v>
      </c>
      <c r="E38" s="4" t="b">
        <v>1</v>
      </c>
      <c r="F38" s="3">
        <v>230</v>
      </c>
      <c r="G38" s="3">
        <v>221</v>
      </c>
      <c r="H38" s="3">
        <f>HistoricalData[[#This Row],[staff_plan]]-HistoricalData[[#This Row],[staff_fact]]</f>
        <v>9</v>
      </c>
      <c r="I38" s="5">
        <v>1.23E-2</v>
      </c>
      <c r="J38" s="5">
        <v>7.46E-2</v>
      </c>
      <c r="K38" s="3">
        <v>14</v>
      </c>
      <c r="L38" s="3">
        <v>8</v>
      </c>
      <c r="M38" s="3">
        <v>3</v>
      </c>
      <c r="N38" s="3">
        <v>18</v>
      </c>
      <c r="O38" s="3">
        <v>1</v>
      </c>
      <c r="P38" s="3">
        <v>18</v>
      </c>
      <c r="Q38" s="3">
        <v>45</v>
      </c>
      <c r="R38" s="3">
        <v>30</v>
      </c>
      <c r="S38" s="3"/>
      <c r="T38" s="5">
        <v>0.1139</v>
      </c>
      <c r="U38" s="5">
        <v>0.52300000000000002</v>
      </c>
      <c r="V38" s="3">
        <v>8</v>
      </c>
      <c r="W38" s="3">
        <v>70</v>
      </c>
      <c r="X38" s="3">
        <v>134</v>
      </c>
    </row>
    <row r="39" spans="1:24">
      <c r="A39" s="3" t="s">
        <v>25</v>
      </c>
      <c r="B39" s="3">
        <v>2023</v>
      </c>
      <c r="C39" s="3">
        <v>2</v>
      </c>
      <c r="D39" s="3" t="s">
        <v>60</v>
      </c>
      <c r="E39" s="4" t="b">
        <v>1</v>
      </c>
      <c r="F39" s="3">
        <v>230</v>
      </c>
      <c r="G39" s="3">
        <v>224</v>
      </c>
      <c r="H39" s="3">
        <f>HistoricalData[[#This Row],[staff_plan]]-HistoricalData[[#This Row],[staff_fact]]</f>
        <v>6</v>
      </c>
      <c r="I39" s="5">
        <v>1.38E-2</v>
      </c>
      <c r="J39" s="5">
        <v>7.2400000000000006E-2</v>
      </c>
      <c r="K39" s="3">
        <v>18</v>
      </c>
      <c r="L39" s="3">
        <v>5</v>
      </c>
      <c r="M39" s="3">
        <v>6</v>
      </c>
      <c r="N39" s="3">
        <v>16</v>
      </c>
      <c r="O39" s="3">
        <v>1</v>
      </c>
      <c r="P39" s="3">
        <v>18</v>
      </c>
      <c r="Q39" s="3">
        <v>45</v>
      </c>
      <c r="R39" s="3">
        <v>30</v>
      </c>
      <c r="S39" s="3"/>
      <c r="T39" s="5">
        <v>0.1118</v>
      </c>
      <c r="U39" s="5">
        <v>0.4451</v>
      </c>
      <c r="V39" s="3">
        <v>5</v>
      </c>
      <c r="W39" s="3">
        <v>45</v>
      </c>
      <c r="X39" s="3">
        <v>101</v>
      </c>
    </row>
    <row r="40" spans="1:24">
      <c r="A40" s="3" t="s">
        <v>26</v>
      </c>
      <c r="B40" s="3">
        <v>2023</v>
      </c>
      <c r="C40" s="3">
        <v>3</v>
      </c>
      <c r="D40" s="3" t="s">
        <v>60</v>
      </c>
      <c r="E40" s="4" t="b">
        <v>1</v>
      </c>
      <c r="F40" s="3">
        <v>230</v>
      </c>
      <c r="G40" s="3">
        <v>226</v>
      </c>
      <c r="H40" s="3">
        <f>HistoricalData[[#This Row],[staff_plan]]-HistoricalData[[#This Row],[staff_fact]]</f>
        <v>4</v>
      </c>
      <c r="I40" s="5">
        <v>1.89E-2</v>
      </c>
      <c r="J40" s="5">
        <v>7.51E-2</v>
      </c>
      <c r="K40" s="3">
        <v>16</v>
      </c>
      <c r="L40" s="3">
        <v>3</v>
      </c>
      <c r="M40" s="3">
        <v>6</v>
      </c>
      <c r="N40" s="3">
        <v>12</v>
      </c>
      <c r="O40" s="3">
        <v>1</v>
      </c>
      <c r="P40" s="3">
        <v>18</v>
      </c>
      <c r="Q40" s="3">
        <v>45</v>
      </c>
      <c r="R40" s="3">
        <v>30</v>
      </c>
      <c r="S40" s="3"/>
      <c r="T40" s="5">
        <v>0.1242</v>
      </c>
      <c r="U40" s="5">
        <v>0.4909</v>
      </c>
      <c r="V40" s="3">
        <v>3</v>
      </c>
      <c r="W40" s="3">
        <v>24</v>
      </c>
      <c r="X40" s="3">
        <v>49</v>
      </c>
    </row>
    <row r="41" spans="1:24">
      <c r="A41" s="3" t="s">
        <v>27</v>
      </c>
      <c r="B41" s="3">
        <v>2023</v>
      </c>
      <c r="C41" s="3">
        <v>4</v>
      </c>
      <c r="D41" s="3" t="s">
        <v>60</v>
      </c>
      <c r="E41" s="4" t="b">
        <v>1</v>
      </c>
      <c r="F41" s="3">
        <v>235</v>
      </c>
      <c r="G41" s="3">
        <v>225</v>
      </c>
      <c r="H41" s="3">
        <f>HistoricalData[[#This Row],[staff_plan]]-HistoricalData[[#This Row],[staff_fact]]</f>
        <v>10</v>
      </c>
      <c r="I41" s="5">
        <v>1.9199999999999998E-2</v>
      </c>
      <c r="J41" s="5">
        <v>7.9100000000000004E-2</v>
      </c>
      <c r="K41" s="3">
        <v>12</v>
      </c>
      <c r="L41" s="3">
        <v>6</v>
      </c>
      <c r="M41" s="3">
        <v>3</v>
      </c>
      <c r="N41" s="3">
        <v>14</v>
      </c>
      <c r="O41" s="3">
        <v>2</v>
      </c>
      <c r="P41" s="3">
        <v>18</v>
      </c>
      <c r="Q41" s="3">
        <v>45</v>
      </c>
      <c r="R41" s="3">
        <v>30</v>
      </c>
      <c r="S41" s="3"/>
      <c r="T41" s="5">
        <v>0.1203</v>
      </c>
      <c r="U41" s="5">
        <v>0.49359999999999998</v>
      </c>
      <c r="V41" s="3">
        <v>6</v>
      </c>
      <c r="W41" s="3">
        <v>50</v>
      </c>
      <c r="X41" s="3">
        <v>101</v>
      </c>
    </row>
    <row r="42" spans="1:24">
      <c r="A42" s="3" t="s">
        <v>28</v>
      </c>
      <c r="B42" s="3">
        <v>2023</v>
      </c>
      <c r="C42" s="3">
        <v>5</v>
      </c>
      <c r="D42" s="3" t="s">
        <v>60</v>
      </c>
      <c r="E42" s="4" t="b">
        <v>1</v>
      </c>
      <c r="F42" s="3">
        <v>235</v>
      </c>
      <c r="G42" s="3">
        <v>224</v>
      </c>
      <c r="H42" s="3">
        <f>HistoricalData[[#This Row],[staff_plan]]-HistoricalData[[#This Row],[staff_fact]]</f>
        <v>11</v>
      </c>
      <c r="I42" s="5">
        <v>2.01E-2</v>
      </c>
      <c r="J42" s="5">
        <v>8.5699999999999998E-2</v>
      </c>
      <c r="K42" s="3">
        <v>14</v>
      </c>
      <c r="L42" s="3">
        <v>7</v>
      </c>
      <c r="M42" s="3">
        <v>4</v>
      </c>
      <c r="N42" s="3">
        <v>16</v>
      </c>
      <c r="O42" s="3">
        <v>2</v>
      </c>
      <c r="P42" s="3">
        <v>18</v>
      </c>
      <c r="Q42" s="3">
        <v>45</v>
      </c>
      <c r="R42" s="3">
        <v>30</v>
      </c>
      <c r="S42" s="3"/>
      <c r="T42" s="5">
        <v>0.1225</v>
      </c>
      <c r="U42" s="5">
        <v>0.45329999999999998</v>
      </c>
      <c r="V42" s="3">
        <v>7</v>
      </c>
      <c r="W42" s="3">
        <v>57</v>
      </c>
      <c r="X42" s="3">
        <v>126</v>
      </c>
    </row>
    <row r="43" spans="1:24">
      <c r="A43" s="3" t="s">
        <v>29</v>
      </c>
      <c r="B43" s="3">
        <v>2023</v>
      </c>
      <c r="C43" s="3">
        <v>6</v>
      </c>
      <c r="D43" s="3" t="s">
        <v>60</v>
      </c>
      <c r="E43" s="4" t="b">
        <v>1</v>
      </c>
      <c r="F43" s="3">
        <v>235</v>
      </c>
      <c r="G43" s="3">
        <v>223</v>
      </c>
      <c r="H43" s="3">
        <f>HistoricalData[[#This Row],[staff_plan]]-HistoricalData[[#This Row],[staff_fact]]</f>
        <v>12</v>
      </c>
      <c r="I43" s="5">
        <v>2.3099999999999999E-2</v>
      </c>
      <c r="J43" s="5">
        <v>9.2700000000000005E-2</v>
      </c>
      <c r="K43" s="3">
        <v>16</v>
      </c>
      <c r="L43" s="3">
        <v>9</v>
      </c>
      <c r="M43" s="3">
        <v>4</v>
      </c>
      <c r="N43" s="3">
        <v>20</v>
      </c>
      <c r="O43" s="3">
        <v>2</v>
      </c>
      <c r="P43" s="3">
        <v>18</v>
      </c>
      <c r="Q43" s="3">
        <v>45</v>
      </c>
      <c r="R43" s="3">
        <v>30</v>
      </c>
      <c r="S43" s="3"/>
      <c r="T43" s="5">
        <v>0.1135</v>
      </c>
      <c r="U43" s="5">
        <v>0.48070000000000002</v>
      </c>
      <c r="V43" s="3">
        <v>9</v>
      </c>
      <c r="W43" s="3">
        <v>79</v>
      </c>
      <c r="X43" s="3">
        <v>164</v>
      </c>
    </row>
    <row r="44" spans="1:24">
      <c r="A44" s="3" t="s">
        <v>30</v>
      </c>
      <c r="B44" s="3">
        <v>2023</v>
      </c>
      <c r="C44" s="3">
        <v>7</v>
      </c>
      <c r="D44" s="3" t="s">
        <v>60</v>
      </c>
      <c r="E44" s="4" t="b">
        <v>1</v>
      </c>
      <c r="F44" s="3">
        <v>235</v>
      </c>
      <c r="G44" s="3">
        <v>224</v>
      </c>
      <c r="H44" s="3">
        <f>HistoricalData[[#This Row],[staff_plan]]-HistoricalData[[#This Row],[staff_fact]]</f>
        <v>11</v>
      </c>
      <c r="I44" s="5">
        <v>2.4E-2</v>
      </c>
      <c r="J44" s="5">
        <v>9.98E-2</v>
      </c>
      <c r="K44" s="3">
        <v>20</v>
      </c>
      <c r="L44" s="3">
        <v>9</v>
      </c>
      <c r="M44" s="3">
        <v>6</v>
      </c>
      <c r="N44" s="3">
        <v>21</v>
      </c>
      <c r="O44" s="3">
        <v>2</v>
      </c>
      <c r="P44" s="3">
        <v>18</v>
      </c>
      <c r="Q44" s="3">
        <v>45</v>
      </c>
      <c r="R44" s="3">
        <v>30</v>
      </c>
      <c r="S44" s="3"/>
      <c r="T44" s="5">
        <v>0.1181</v>
      </c>
      <c r="U44" s="5">
        <v>0.45979999999999999</v>
      </c>
      <c r="V44" s="3">
        <v>9</v>
      </c>
      <c r="W44" s="3">
        <v>76</v>
      </c>
      <c r="X44" s="3">
        <v>165</v>
      </c>
    </row>
    <row r="45" spans="1:24">
      <c r="A45" s="3" t="s">
        <v>31</v>
      </c>
      <c r="B45" s="3">
        <v>2023</v>
      </c>
      <c r="C45" s="3">
        <v>8</v>
      </c>
      <c r="D45" s="3" t="s">
        <v>60</v>
      </c>
      <c r="E45" s="4" t="b">
        <v>1</v>
      </c>
      <c r="F45" s="3">
        <v>233</v>
      </c>
      <c r="G45" s="3">
        <v>227</v>
      </c>
      <c r="H45" s="3">
        <f>HistoricalData[[#This Row],[staff_plan]]-HistoricalData[[#This Row],[staff_fact]]</f>
        <v>6</v>
      </c>
      <c r="I45" s="5">
        <v>2.3900000000000001E-2</v>
      </c>
      <c r="J45" s="5">
        <v>0.1086</v>
      </c>
      <c r="K45" s="3">
        <v>21</v>
      </c>
      <c r="L45" s="3">
        <v>5</v>
      </c>
      <c r="M45" s="3">
        <v>8</v>
      </c>
      <c r="N45" s="3">
        <v>16</v>
      </c>
      <c r="O45" s="3">
        <v>1</v>
      </c>
      <c r="P45" s="3">
        <v>18</v>
      </c>
      <c r="Q45" s="3">
        <v>45</v>
      </c>
      <c r="R45" s="3">
        <v>30</v>
      </c>
      <c r="S45" s="3"/>
      <c r="T45" s="5">
        <v>0.1212</v>
      </c>
      <c r="U45" s="5">
        <v>0.44350000000000001</v>
      </c>
      <c r="V45" s="3">
        <v>5</v>
      </c>
      <c r="W45" s="3">
        <v>41</v>
      </c>
      <c r="X45" s="3">
        <v>92</v>
      </c>
    </row>
    <row r="46" spans="1:24">
      <c r="A46" s="3" t="s">
        <v>32</v>
      </c>
      <c r="B46" s="3">
        <v>2023</v>
      </c>
      <c r="C46" s="3">
        <v>9</v>
      </c>
      <c r="D46" s="3" t="s">
        <v>60</v>
      </c>
      <c r="E46" s="4" t="b">
        <v>1</v>
      </c>
      <c r="F46" s="3">
        <v>233</v>
      </c>
      <c r="G46" s="3">
        <v>226</v>
      </c>
      <c r="H46" s="3">
        <f>HistoricalData[[#This Row],[staff_plan]]-HistoricalData[[#This Row],[staff_fact]]</f>
        <v>7</v>
      </c>
      <c r="I46" s="5">
        <v>2.46E-2</v>
      </c>
      <c r="J46" s="5">
        <v>0.1116</v>
      </c>
      <c r="K46" s="3">
        <v>16</v>
      </c>
      <c r="L46" s="3">
        <v>5</v>
      </c>
      <c r="M46" s="3">
        <v>5</v>
      </c>
      <c r="N46" s="3">
        <v>14</v>
      </c>
      <c r="O46" s="3">
        <v>1</v>
      </c>
      <c r="P46" s="3">
        <v>18</v>
      </c>
      <c r="Q46" s="3">
        <v>45</v>
      </c>
      <c r="R46" s="3">
        <v>30</v>
      </c>
      <c r="S46" s="3"/>
      <c r="T46" s="5">
        <v>0.12909999999999999</v>
      </c>
      <c r="U46" s="5">
        <v>0.45710000000000001</v>
      </c>
      <c r="V46" s="3">
        <v>5</v>
      </c>
      <c r="W46" s="3">
        <v>39</v>
      </c>
      <c r="X46" s="3">
        <v>85</v>
      </c>
    </row>
    <row r="47" spans="1:24">
      <c r="A47" s="3" t="s">
        <v>33</v>
      </c>
      <c r="B47" s="3">
        <v>2023</v>
      </c>
      <c r="C47" s="3">
        <v>10</v>
      </c>
      <c r="D47" s="3" t="s">
        <v>60</v>
      </c>
      <c r="E47" s="4" t="b">
        <v>1</v>
      </c>
      <c r="F47" s="3">
        <v>233</v>
      </c>
      <c r="G47" s="3">
        <v>224</v>
      </c>
      <c r="H47" s="3">
        <f>HistoricalData[[#This Row],[staff_plan]]-HistoricalData[[#This Row],[staff_fact]]</f>
        <v>9</v>
      </c>
      <c r="I47" s="5">
        <v>2.46E-2</v>
      </c>
      <c r="J47" s="5">
        <v>9.7500000000000003E-2</v>
      </c>
      <c r="K47" s="3">
        <v>14</v>
      </c>
      <c r="L47" s="3">
        <v>8</v>
      </c>
      <c r="M47" s="3">
        <v>4</v>
      </c>
      <c r="N47" s="3">
        <v>17</v>
      </c>
      <c r="O47" s="3">
        <v>1</v>
      </c>
      <c r="P47" s="3">
        <v>18</v>
      </c>
      <c r="Q47" s="3">
        <v>45</v>
      </c>
      <c r="R47" s="3">
        <v>30</v>
      </c>
      <c r="S47" s="3"/>
      <c r="T47" s="5">
        <v>0.124</v>
      </c>
      <c r="U47" s="5">
        <v>0.45500000000000002</v>
      </c>
      <c r="V47" s="3">
        <v>8</v>
      </c>
      <c r="W47" s="3">
        <v>65</v>
      </c>
      <c r="X47" s="3">
        <v>143</v>
      </c>
    </row>
    <row r="48" spans="1:24">
      <c r="A48" s="3" t="s">
        <v>34</v>
      </c>
      <c r="B48" s="3">
        <v>2023</v>
      </c>
      <c r="C48" s="3">
        <v>11</v>
      </c>
      <c r="D48" s="3" t="s">
        <v>60</v>
      </c>
      <c r="E48" s="4" t="b">
        <v>1</v>
      </c>
      <c r="F48" s="3">
        <v>233</v>
      </c>
      <c r="G48" s="3">
        <v>225</v>
      </c>
      <c r="H48" s="3">
        <f>HistoricalData[[#This Row],[staff_plan]]-HistoricalData[[#This Row],[staff_fact]]</f>
        <v>8</v>
      </c>
      <c r="I48" s="5">
        <v>1.89E-2</v>
      </c>
      <c r="J48" s="5">
        <v>9.1899999999999996E-2</v>
      </c>
      <c r="K48" s="3">
        <v>17</v>
      </c>
      <c r="L48" s="3">
        <v>6</v>
      </c>
      <c r="M48" s="3">
        <v>5</v>
      </c>
      <c r="N48" s="3">
        <v>16</v>
      </c>
      <c r="O48" s="3">
        <v>1</v>
      </c>
      <c r="P48" s="3">
        <v>18</v>
      </c>
      <c r="Q48" s="3">
        <v>45</v>
      </c>
      <c r="R48" s="3">
        <v>30</v>
      </c>
      <c r="S48" s="3"/>
      <c r="T48" s="5">
        <v>0.1099</v>
      </c>
      <c r="U48" s="5">
        <v>0.43569999999999998</v>
      </c>
      <c r="V48" s="3">
        <v>6</v>
      </c>
      <c r="W48" s="3">
        <v>55</v>
      </c>
      <c r="X48" s="3">
        <v>126</v>
      </c>
    </row>
    <row r="49" spans="1:24">
      <c r="A49" s="3" t="s">
        <v>35</v>
      </c>
      <c r="B49" s="3">
        <v>2023</v>
      </c>
      <c r="C49" s="3">
        <v>12</v>
      </c>
      <c r="D49" s="3" t="s">
        <v>60</v>
      </c>
      <c r="E49" s="4" t="b">
        <v>1</v>
      </c>
      <c r="F49" s="3">
        <v>230</v>
      </c>
      <c r="G49" s="3">
        <v>225</v>
      </c>
      <c r="H49" s="3">
        <f>HistoricalData[[#This Row],[staff_plan]]-HistoricalData[[#This Row],[staff_fact]]</f>
        <v>5</v>
      </c>
      <c r="I49" s="5">
        <v>1.7600000000000001E-2</v>
      </c>
      <c r="J49" s="5">
        <v>9.1200000000000003E-2</v>
      </c>
      <c r="K49" s="3">
        <v>16</v>
      </c>
      <c r="L49" s="3">
        <v>7</v>
      </c>
      <c r="M49" s="3">
        <v>4</v>
      </c>
      <c r="N49" s="3">
        <v>18</v>
      </c>
      <c r="O49" s="3">
        <v>1</v>
      </c>
      <c r="P49" s="3">
        <v>18</v>
      </c>
      <c r="Q49" s="3">
        <v>45</v>
      </c>
      <c r="R49" s="3">
        <v>30</v>
      </c>
      <c r="S49" s="3"/>
      <c r="T49" s="5">
        <v>0.1328</v>
      </c>
      <c r="U49" s="5">
        <v>0.43290000000000001</v>
      </c>
      <c r="V49" s="3">
        <v>7</v>
      </c>
      <c r="W49" s="3">
        <v>53</v>
      </c>
      <c r="X49" s="3">
        <v>122</v>
      </c>
    </row>
    <row r="50" spans="1:24">
      <c r="A50" s="3" t="s">
        <v>36</v>
      </c>
      <c r="B50" s="3">
        <v>2024</v>
      </c>
      <c r="C50" s="3">
        <v>1</v>
      </c>
      <c r="D50" s="3" t="s">
        <v>60</v>
      </c>
      <c r="E50" s="4" t="b">
        <v>1</v>
      </c>
      <c r="F50" s="3">
        <v>230</v>
      </c>
      <c r="G50" s="3">
        <v>226</v>
      </c>
      <c r="H50" s="3">
        <f>HistoricalData[[#This Row],[staff_plan]]-HistoricalData[[#This Row],[staff_fact]]</f>
        <v>4</v>
      </c>
      <c r="I50" s="5">
        <v>1.9699999999999999E-2</v>
      </c>
      <c r="J50" s="5">
        <v>8.3299999999999999E-2</v>
      </c>
      <c r="K50" s="3">
        <v>18</v>
      </c>
      <c r="L50" s="3">
        <v>8</v>
      </c>
      <c r="M50" s="3">
        <v>5</v>
      </c>
      <c r="N50" s="3">
        <v>20</v>
      </c>
      <c r="O50" s="3">
        <v>1</v>
      </c>
      <c r="P50" s="3">
        <v>18</v>
      </c>
      <c r="Q50" s="3">
        <v>45</v>
      </c>
      <c r="R50" s="3">
        <v>30</v>
      </c>
      <c r="S50" s="3"/>
      <c r="T50" s="5">
        <v>0.1215</v>
      </c>
      <c r="U50" s="5">
        <v>0.42470000000000002</v>
      </c>
      <c r="V50" s="3">
        <v>8</v>
      </c>
      <c r="W50" s="3">
        <v>66</v>
      </c>
      <c r="X50" s="3">
        <v>155</v>
      </c>
    </row>
    <row r="51" spans="1:24">
      <c r="A51" s="3" t="s">
        <v>37</v>
      </c>
      <c r="B51" s="3">
        <v>2024</v>
      </c>
      <c r="C51" s="3">
        <v>2</v>
      </c>
      <c r="D51" s="3" t="s">
        <v>60</v>
      </c>
      <c r="E51" s="4" t="b">
        <v>1</v>
      </c>
      <c r="F51" s="3">
        <v>230</v>
      </c>
      <c r="G51" s="3">
        <v>228</v>
      </c>
      <c r="H51" s="3">
        <f>HistoricalData[[#This Row],[staff_plan]]-HistoricalData[[#This Row],[staff_fact]]</f>
        <v>2</v>
      </c>
      <c r="I51" s="5">
        <v>1.77E-2</v>
      </c>
      <c r="J51" s="5">
        <v>8.7800000000000003E-2</v>
      </c>
      <c r="K51" s="3">
        <v>20</v>
      </c>
      <c r="L51" s="3">
        <v>8</v>
      </c>
      <c r="M51" s="3">
        <v>6</v>
      </c>
      <c r="N51" s="3">
        <v>20</v>
      </c>
      <c r="O51" s="3">
        <v>1</v>
      </c>
      <c r="P51" s="3">
        <v>18</v>
      </c>
      <c r="Q51" s="3">
        <v>45</v>
      </c>
      <c r="R51" s="3">
        <v>30</v>
      </c>
      <c r="S51" s="3"/>
      <c r="T51" s="5">
        <v>0.1232</v>
      </c>
      <c r="U51" s="5">
        <v>0.46060000000000001</v>
      </c>
      <c r="V51" s="3">
        <v>8</v>
      </c>
      <c r="W51" s="3">
        <v>65</v>
      </c>
      <c r="X51" s="3">
        <v>141</v>
      </c>
    </row>
    <row r="52" spans="1:24">
      <c r="A52" s="3" t="s">
        <v>38</v>
      </c>
      <c r="B52" s="3">
        <v>2024</v>
      </c>
      <c r="C52" s="3">
        <v>3</v>
      </c>
      <c r="D52" s="3" t="s">
        <v>60</v>
      </c>
      <c r="E52" s="4" t="b">
        <v>1</v>
      </c>
      <c r="F52" s="3">
        <v>230</v>
      </c>
      <c r="G52" s="3">
        <v>229</v>
      </c>
      <c r="H52" s="3">
        <f>HistoricalData[[#This Row],[staff_plan]]-HistoricalData[[#This Row],[staff_fact]]</f>
        <v>1</v>
      </c>
      <c r="I52" s="5">
        <v>2.35E-2</v>
      </c>
      <c r="J52" s="5">
        <v>7.1199999999999999E-2</v>
      </c>
      <c r="K52" s="3">
        <v>20</v>
      </c>
      <c r="L52" s="3">
        <v>8</v>
      </c>
      <c r="M52" s="3">
        <v>6</v>
      </c>
      <c r="N52" s="3">
        <v>21</v>
      </c>
      <c r="O52" s="3">
        <v>1</v>
      </c>
      <c r="P52" s="3">
        <v>18</v>
      </c>
      <c r="Q52" s="3">
        <v>45</v>
      </c>
      <c r="R52" s="3">
        <v>30</v>
      </c>
      <c r="S52" s="3"/>
      <c r="T52" s="5">
        <v>0.11609999999999999</v>
      </c>
      <c r="U52" s="5">
        <v>0.45300000000000001</v>
      </c>
      <c r="V52" s="3">
        <v>8</v>
      </c>
      <c r="W52" s="3">
        <v>69</v>
      </c>
      <c r="X52" s="3">
        <v>152</v>
      </c>
    </row>
    <row r="53" spans="1:24">
      <c r="A53" s="3" t="s">
        <v>39</v>
      </c>
      <c r="B53" s="3">
        <v>2024</v>
      </c>
      <c r="C53" s="3">
        <v>4</v>
      </c>
      <c r="D53" s="3" t="s">
        <v>60</v>
      </c>
      <c r="E53" s="4" t="b">
        <v>1</v>
      </c>
      <c r="F53" s="3">
        <v>230</v>
      </c>
      <c r="G53" s="3">
        <v>232</v>
      </c>
      <c r="H53" s="3">
        <f>HistoricalData[[#This Row],[staff_plan]]-HistoricalData[[#This Row],[staff_fact]]</f>
        <v>-2</v>
      </c>
      <c r="I53" s="5">
        <v>2.3E-2</v>
      </c>
      <c r="J53" s="5">
        <v>8.8700000000000001E-2</v>
      </c>
      <c r="K53" s="3">
        <v>21</v>
      </c>
      <c r="L53" s="3">
        <v>5</v>
      </c>
      <c r="M53" s="3">
        <v>8</v>
      </c>
      <c r="N53" s="3">
        <v>16</v>
      </c>
      <c r="O53" s="3">
        <v>2</v>
      </c>
      <c r="P53" s="3">
        <v>18</v>
      </c>
      <c r="Q53" s="3">
        <v>45</v>
      </c>
      <c r="R53" s="3">
        <v>30</v>
      </c>
      <c r="S53" s="3"/>
      <c r="T53" s="5">
        <v>0.13100000000000001</v>
      </c>
      <c r="U53" s="5">
        <v>0.41889999999999999</v>
      </c>
      <c r="V53" s="3">
        <v>5</v>
      </c>
      <c r="W53" s="3">
        <v>38</v>
      </c>
      <c r="X53" s="3">
        <v>91</v>
      </c>
    </row>
    <row r="54" spans="1:24">
      <c r="A54" s="3" t="s">
        <v>40</v>
      </c>
      <c r="B54" s="3">
        <v>2024</v>
      </c>
      <c r="C54" s="3">
        <v>5</v>
      </c>
      <c r="D54" s="3" t="s">
        <v>60</v>
      </c>
      <c r="E54" s="4" t="b">
        <v>1</v>
      </c>
      <c r="F54" s="3">
        <v>230</v>
      </c>
      <c r="G54" s="3">
        <v>230</v>
      </c>
      <c r="H54" s="3">
        <f>HistoricalData[[#This Row],[staff_plan]]-HistoricalData[[#This Row],[staff_fact]]</f>
        <v>0</v>
      </c>
      <c r="I54" s="5">
        <v>2.4E-2</v>
      </c>
      <c r="J54" s="5">
        <v>9.64E-2</v>
      </c>
      <c r="K54" s="3">
        <v>16</v>
      </c>
      <c r="L54" s="3">
        <v>7</v>
      </c>
      <c r="M54" s="3">
        <v>4</v>
      </c>
      <c r="N54" s="3">
        <v>17</v>
      </c>
      <c r="O54" s="3">
        <v>2</v>
      </c>
      <c r="P54" s="3">
        <v>18</v>
      </c>
      <c r="Q54" s="3">
        <v>45</v>
      </c>
      <c r="R54" s="3">
        <v>30</v>
      </c>
      <c r="S54" s="3"/>
      <c r="T54" s="5">
        <v>0.1236</v>
      </c>
      <c r="U54" s="5">
        <v>0.443</v>
      </c>
      <c r="V54" s="3">
        <v>7</v>
      </c>
      <c r="W54" s="3">
        <v>57</v>
      </c>
      <c r="X54" s="3">
        <v>129</v>
      </c>
    </row>
    <row r="55" spans="1:24">
      <c r="A55" s="3" t="s">
        <v>41</v>
      </c>
      <c r="B55" s="3">
        <v>2024</v>
      </c>
      <c r="C55" s="3">
        <v>6</v>
      </c>
      <c r="D55" s="3" t="s">
        <v>60</v>
      </c>
      <c r="E55" s="4" t="b">
        <v>1</v>
      </c>
      <c r="F55" s="3">
        <v>235</v>
      </c>
      <c r="G55" s="3">
        <v>232</v>
      </c>
      <c r="H55" s="3">
        <f>HistoricalData[[#This Row],[staff_plan]]-HistoricalData[[#This Row],[staff_fact]]</f>
        <v>3</v>
      </c>
      <c r="I55" s="5">
        <v>2.3900000000000001E-2</v>
      </c>
      <c r="J55" s="5">
        <v>9.6600000000000005E-2</v>
      </c>
      <c r="K55" s="3">
        <v>17</v>
      </c>
      <c r="L55" s="3">
        <v>5</v>
      </c>
      <c r="M55" s="3">
        <v>7</v>
      </c>
      <c r="N55" s="3">
        <v>13</v>
      </c>
      <c r="O55" s="3">
        <v>2</v>
      </c>
      <c r="P55" s="3">
        <v>18</v>
      </c>
      <c r="Q55" s="3">
        <v>45</v>
      </c>
      <c r="R55" s="3">
        <v>30</v>
      </c>
      <c r="S55" s="3"/>
      <c r="T55" s="5">
        <v>0.13009999999999999</v>
      </c>
      <c r="U55" s="5">
        <v>0.45319999999999999</v>
      </c>
      <c r="V55" s="3">
        <v>5</v>
      </c>
      <c r="W55" s="3">
        <v>38</v>
      </c>
      <c r="X55" s="3">
        <v>84</v>
      </c>
    </row>
    <row r="56" spans="1:24">
      <c r="A56" s="3" t="s">
        <v>42</v>
      </c>
      <c r="B56" s="3">
        <v>2024</v>
      </c>
      <c r="C56" s="3">
        <v>7</v>
      </c>
      <c r="D56" s="3" t="s">
        <v>60</v>
      </c>
      <c r="E56" s="4" t="b">
        <v>1</v>
      </c>
      <c r="F56" s="3">
        <v>235</v>
      </c>
      <c r="G56" s="3">
        <v>231</v>
      </c>
      <c r="H56" s="3">
        <f>HistoricalData[[#This Row],[staff_plan]]-HistoricalData[[#This Row],[staff_fact]]</f>
        <v>4</v>
      </c>
      <c r="I56" s="5">
        <v>2.5899999999999999E-2</v>
      </c>
      <c r="J56" s="5">
        <v>0.1032</v>
      </c>
      <c r="K56" s="3">
        <v>13</v>
      </c>
      <c r="L56" s="3">
        <v>6</v>
      </c>
      <c r="M56" s="3">
        <v>5</v>
      </c>
      <c r="N56" s="3">
        <v>13</v>
      </c>
      <c r="O56" s="3">
        <v>2</v>
      </c>
      <c r="P56" s="3">
        <v>18</v>
      </c>
      <c r="Q56" s="3">
        <v>45</v>
      </c>
      <c r="R56" s="3">
        <v>30</v>
      </c>
      <c r="S56" s="3"/>
      <c r="T56" s="5">
        <v>0.12809999999999999</v>
      </c>
      <c r="U56" s="5">
        <v>0.441</v>
      </c>
      <c r="V56" s="3">
        <v>6</v>
      </c>
      <c r="W56" s="3">
        <v>47</v>
      </c>
      <c r="X56" s="3">
        <v>107</v>
      </c>
    </row>
    <row r="57" spans="1:24">
      <c r="A57" s="3" t="s">
        <v>43</v>
      </c>
      <c r="B57" s="3">
        <v>2024</v>
      </c>
      <c r="C57" s="3">
        <v>8</v>
      </c>
      <c r="D57" s="3" t="s">
        <v>60</v>
      </c>
      <c r="E57" s="4" t="b">
        <v>1</v>
      </c>
      <c r="F57" s="3">
        <v>235</v>
      </c>
      <c r="G57" s="3">
        <v>228</v>
      </c>
      <c r="H57" s="3">
        <f>HistoricalData[[#This Row],[staff_plan]]-HistoricalData[[#This Row],[staff_fact]]</f>
        <v>7</v>
      </c>
      <c r="I57" s="5">
        <v>2.8000000000000001E-2</v>
      </c>
      <c r="J57" s="5">
        <v>9.7699999999999995E-2</v>
      </c>
      <c r="K57" s="3">
        <v>13</v>
      </c>
      <c r="L57" s="3">
        <v>10</v>
      </c>
      <c r="M57" s="3">
        <v>3</v>
      </c>
      <c r="N57" s="3">
        <v>19</v>
      </c>
      <c r="O57" s="3">
        <v>1</v>
      </c>
      <c r="P57" s="3">
        <v>18</v>
      </c>
      <c r="Q57" s="3">
        <v>45</v>
      </c>
      <c r="R57" s="3">
        <v>30</v>
      </c>
      <c r="S57" s="3"/>
      <c r="T57" s="5">
        <v>0.1283</v>
      </c>
      <c r="U57" s="5">
        <v>0.4919</v>
      </c>
      <c r="V57" s="3">
        <v>10</v>
      </c>
      <c r="W57" s="3">
        <v>78</v>
      </c>
      <c r="X57" s="3">
        <v>159</v>
      </c>
    </row>
    <row r="58" spans="1:24">
      <c r="A58" s="3" t="s">
        <v>44</v>
      </c>
      <c r="B58" s="3">
        <v>2024</v>
      </c>
      <c r="C58" s="3">
        <v>9</v>
      </c>
      <c r="D58" s="3" t="s">
        <v>60</v>
      </c>
      <c r="E58" s="4" t="b">
        <v>1</v>
      </c>
      <c r="F58" s="3">
        <v>235</v>
      </c>
      <c r="G58" s="3">
        <v>229</v>
      </c>
      <c r="H58" s="3">
        <f>HistoricalData[[#This Row],[staff_plan]]-HistoricalData[[#This Row],[staff_fact]]</f>
        <v>6</v>
      </c>
      <c r="I58" s="5">
        <v>2.46E-2</v>
      </c>
      <c r="J58" s="5">
        <v>0.1008</v>
      </c>
      <c r="K58" s="3">
        <v>19</v>
      </c>
      <c r="L58" s="3">
        <v>8</v>
      </c>
      <c r="M58" s="3">
        <v>7</v>
      </c>
      <c r="N58" s="3">
        <v>18</v>
      </c>
      <c r="O58" s="3">
        <v>1</v>
      </c>
      <c r="P58" s="3">
        <v>18</v>
      </c>
      <c r="Q58" s="3">
        <v>45</v>
      </c>
      <c r="R58" s="3">
        <v>30</v>
      </c>
      <c r="S58" s="3"/>
      <c r="T58" s="5">
        <v>0.11269999999999999</v>
      </c>
      <c r="U58" s="5">
        <v>0.50190000000000001</v>
      </c>
      <c r="V58" s="3">
        <v>8</v>
      </c>
      <c r="W58" s="3">
        <v>71</v>
      </c>
      <c r="X58" s="3">
        <v>141</v>
      </c>
    </row>
    <row r="59" spans="1:24">
      <c r="A59" s="3" t="s">
        <v>45</v>
      </c>
      <c r="B59" s="3">
        <v>2024</v>
      </c>
      <c r="C59" s="3">
        <v>10</v>
      </c>
      <c r="D59" s="3" t="s">
        <v>60</v>
      </c>
      <c r="E59" s="4" t="b">
        <v>1</v>
      </c>
      <c r="F59" s="3">
        <v>235</v>
      </c>
      <c r="G59" s="3">
        <v>228</v>
      </c>
      <c r="H59" s="3">
        <f>HistoricalData[[#This Row],[staff_plan]]-HistoricalData[[#This Row],[staff_fact]]</f>
        <v>7</v>
      </c>
      <c r="I59" s="5">
        <v>2.1600000000000001E-2</v>
      </c>
      <c r="J59" s="5">
        <v>0.1003</v>
      </c>
      <c r="K59" s="3">
        <v>18</v>
      </c>
      <c r="L59" s="3">
        <v>9</v>
      </c>
      <c r="M59" s="3">
        <v>4</v>
      </c>
      <c r="N59" s="3">
        <v>21</v>
      </c>
      <c r="O59" s="3">
        <v>1</v>
      </c>
      <c r="P59" s="3">
        <v>18</v>
      </c>
      <c r="Q59" s="3">
        <v>45</v>
      </c>
      <c r="R59" s="3">
        <v>30</v>
      </c>
      <c r="S59" s="3"/>
      <c r="T59" s="5">
        <v>0.13370000000000001</v>
      </c>
      <c r="U59" s="5">
        <v>0.41089999999999999</v>
      </c>
      <c r="V59" s="3">
        <v>9</v>
      </c>
      <c r="W59" s="3">
        <v>67</v>
      </c>
      <c r="X59" s="3">
        <v>163</v>
      </c>
    </row>
    <row r="60" spans="1:24">
      <c r="A60" s="3" t="s">
        <v>46</v>
      </c>
      <c r="B60" s="3">
        <v>2024</v>
      </c>
      <c r="C60" s="3">
        <v>11</v>
      </c>
      <c r="D60" s="3" t="s">
        <v>60</v>
      </c>
      <c r="E60" s="4" t="b">
        <v>1</v>
      </c>
      <c r="F60" s="3">
        <v>235</v>
      </c>
      <c r="G60" s="3">
        <v>230</v>
      </c>
      <c r="H60" s="3">
        <f>HistoricalData[[#This Row],[staff_plan]]-HistoricalData[[#This Row],[staff_fact]]</f>
        <v>5</v>
      </c>
      <c r="I60" s="5">
        <v>1.8800000000000001E-2</v>
      </c>
      <c r="J60" s="5">
        <v>0.10050000000000001</v>
      </c>
      <c r="K60" s="3">
        <v>21</v>
      </c>
      <c r="L60" s="3">
        <v>9</v>
      </c>
      <c r="M60" s="3">
        <v>6</v>
      </c>
      <c r="N60" s="3">
        <v>22</v>
      </c>
      <c r="O60" s="3">
        <v>1</v>
      </c>
      <c r="P60" s="3">
        <v>18</v>
      </c>
      <c r="Q60" s="3">
        <v>45</v>
      </c>
      <c r="R60" s="3">
        <v>30</v>
      </c>
      <c r="S60" s="3"/>
      <c r="T60" s="5">
        <v>0.1016</v>
      </c>
      <c r="U60" s="5">
        <v>0.44669999999999999</v>
      </c>
      <c r="V60" s="3">
        <v>9</v>
      </c>
      <c r="W60" s="3">
        <v>89</v>
      </c>
      <c r="X60" s="3">
        <v>199</v>
      </c>
    </row>
    <row r="61" spans="1:24">
      <c r="A61" s="3" t="s">
        <v>47</v>
      </c>
      <c r="B61" s="3">
        <v>2024</v>
      </c>
      <c r="C61" s="3">
        <v>12</v>
      </c>
      <c r="D61" s="3" t="s">
        <v>60</v>
      </c>
      <c r="E61" s="4" t="b">
        <v>1</v>
      </c>
      <c r="F61" s="3">
        <v>235</v>
      </c>
      <c r="G61" s="3">
        <v>230</v>
      </c>
      <c r="H61" s="3">
        <f>HistoricalData[[#This Row],[staff_plan]]-HistoricalData[[#This Row],[staff_fact]]</f>
        <v>5</v>
      </c>
      <c r="I61" s="5">
        <v>2.3E-2</v>
      </c>
      <c r="J61" s="5">
        <v>9.5600000000000004E-2</v>
      </c>
      <c r="K61" s="3">
        <v>22</v>
      </c>
      <c r="L61" s="3">
        <v>9</v>
      </c>
      <c r="M61" s="3">
        <v>5</v>
      </c>
      <c r="N61" s="3">
        <v>24</v>
      </c>
      <c r="O61" s="3">
        <v>1</v>
      </c>
      <c r="P61" s="3">
        <v>18</v>
      </c>
      <c r="Q61" s="3">
        <v>45</v>
      </c>
      <c r="R61" s="3">
        <v>30</v>
      </c>
      <c r="S61" s="3"/>
      <c r="T61" s="5">
        <v>0.1196</v>
      </c>
      <c r="U61" s="5">
        <v>0.47189999999999999</v>
      </c>
      <c r="V61" s="3">
        <v>9</v>
      </c>
      <c r="W61" s="3">
        <v>75</v>
      </c>
      <c r="X61" s="3">
        <v>159</v>
      </c>
    </row>
    <row r="62" spans="1:24">
      <c r="A62" s="3" t="s">
        <v>48</v>
      </c>
      <c r="B62" s="3">
        <v>2025</v>
      </c>
      <c r="C62" s="3">
        <v>1</v>
      </c>
      <c r="D62" s="3" t="s">
        <v>60</v>
      </c>
      <c r="E62" s="4" t="b">
        <v>1</v>
      </c>
      <c r="F62" s="3">
        <v>240</v>
      </c>
      <c r="G62" s="3">
        <v>232</v>
      </c>
      <c r="H62" s="3">
        <f>HistoricalData[[#This Row],[staff_plan]]-HistoricalData[[#This Row],[staff_fact]]</f>
        <v>8</v>
      </c>
      <c r="I62" s="5">
        <v>1.5299999999999999E-2</v>
      </c>
      <c r="J62" s="5">
        <v>8.5699999999999998E-2</v>
      </c>
      <c r="K62" s="3">
        <v>24</v>
      </c>
      <c r="L62" s="3">
        <v>11</v>
      </c>
      <c r="M62" s="3">
        <v>6</v>
      </c>
      <c r="N62" s="3">
        <v>27</v>
      </c>
      <c r="O62" s="3">
        <v>1</v>
      </c>
      <c r="P62" s="3">
        <v>18</v>
      </c>
      <c r="Q62" s="3">
        <v>45</v>
      </c>
      <c r="R62" s="3">
        <v>30</v>
      </c>
      <c r="S62" s="3"/>
      <c r="T62" s="5">
        <v>0.11210000000000001</v>
      </c>
      <c r="U62" s="5">
        <v>0.4582</v>
      </c>
      <c r="V62" s="3">
        <v>11</v>
      </c>
      <c r="W62" s="3">
        <v>98</v>
      </c>
      <c r="X62" s="3">
        <v>214</v>
      </c>
    </row>
    <row r="63" spans="1:24">
      <c r="A63" s="3" t="s">
        <v>49</v>
      </c>
      <c r="B63" s="3">
        <v>2025</v>
      </c>
      <c r="C63" s="3">
        <v>2</v>
      </c>
      <c r="D63" s="3" t="s">
        <v>60</v>
      </c>
      <c r="E63" s="4" t="b">
        <v>1</v>
      </c>
      <c r="F63" s="3">
        <v>240</v>
      </c>
      <c r="G63" s="3">
        <v>237</v>
      </c>
      <c r="H63" s="3">
        <f>HistoricalData[[#This Row],[staff_plan]]-HistoricalData[[#This Row],[staff_fact]]</f>
        <v>3</v>
      </c>
      <c r="I63" s="5">
        <v>1.78E-2</v>
      </c>
      <c r="J63" s="5">
        <v>7.7899999999999997E-2</v>
      </c>
      <c r="K63" s="3">
        <v>27</v>
      </c>
      <c r="L63" s="3">
        <v>4</v>
      </c>
      <c r="M63" s="3">
        <v>9</v>
      </c>
      <c r="N63" s="3">
        <v>20</v>
      </c>
      <c r="O63" s="3">
        <v>1</v>
      </c>
      <c r="P63" s="3">
        <v>18</v>
      </c>
      <c r="Q63" s="3">
        <v>45</v>
      </c>
      <c r="R63" s="3">
        <v>30</v>
      </c>
      <c r="S63" s="3"/>
      <c r="T63" s="5">
        <v>0.12889999999999999</v>
      </c>
      <c r="U63" s="5">
        <v>0.44600000000000001</v>
      </c>
      <c r="V63" s="3">
        <v>4</v>
      </c>
      <c r="W63" s="3">
        <v>31</v>
      </c>
      <c r="X63" s="3">
        <v>70</v>
      </c>
    </row>
    <row r="64" spans="1:24">
      <c r="A64" s="3" t="s">
        <v>50</v>
      </c>
      <c r="B64" s="3">
        <v>2025</v>
      </c>
      <c r="C64" s="3">
        <v>3</v>
      </c>
      <c r="D64" s="3" t="s">
        <v>60</v>
      </c>
      <c r="E64" s="4" t="b">
        <v>1</v>
      </c>
      <c r="F64" s="3">
        <v>240</v>
      </c>
      <c r="G64" s="3">
        <v>239</v>
      </c>
      <c r="H64" s="3">
        <f>HistoricalData[[#This Row],[staff_plan]]-HistoricalData[[#This Row],[staff_fact]]</f>
        <v>1</v>
      </c>
      <c r="I64" s="5">
        <v>2.0199999999999999E-2</v>
      </c>
      <c r="J64" s="5">
        <v>7.22E-2</v>
      </c>
      <c r="K64" s="3">
        <v>20</v>
      </c>
      <c r="L64" s="3">
        <v>3</v>
      </c>
      <c r="M64" s="3">
        <v>7</v>
      </c>
      <c r="N64" s="3">
        <v>15</v>
      </c>
      <c r="O64" s="3">
        <v>1</v>
      </c>
      <c r="P64" s="3">
        <v>18</v>
      </c>
      <c r="Q64" s="3">
        <v>45</v>
      </c>
      <c r="R64" s="3">
        <v>30</v>
      </c>
      <c r="S64" s="3"/>
      <c r="T64" s="5">
        <v>0.13070000000000001</v>
      </c>
      <c r="U64" s="5">
        <v>0.47570000000000001</v>
      </c>
      <c r="V64" s="3">
        <v>3</v>
      </c>
      <c r="W64" s="3">
        <v>23</v>
      </c>
      <c r="X64" s="3">
        <v>48</v>
      </c>
    </row>
    <row r="65" spans="1:24">
      <c r="A65" s="3" t="s">
        <v>51</v>
      </c>
      <c r="B65" s="3">
        <v>2025</v>
      </c>
      <c r="C65" s="3">
        <v>4</v>
      </c>
      <c r="D65" s="3" t="s">
        <v>60</v>
      </c>
      <c r="E65" s="4" t="b">
        <v>1</v>
      </c>
      <c r="F65" s="3">
        <v>240</v>
      </c>
      <c r="G65" s="3">
        <v>240</v>
      </c>
      <c r="H65" s="3">
        <f>HistoricalData[[#This Row],[staff_plan]]-HistoricalData[[#This Row],[staff_fact]]</f>
        <v>0</v>
      </c>
      <c r="I65" s="5">
        <v>2.1999999999999999E-2</v>
      </c>
      <c r="J65" s="5">
        <v>9.1600000000000001E-2</v>
      </c>
      <c r="K65" s="3">
        <v>15</v>
      </c>
      <c r="L65" s="3">
        <v>2</v>
      </c>
      <c r="M65" s="3">
        <v>6</v>
      </c>
      <c r="N65" s="3">
        <v>10</v>
      </c>
      <c r="O65" s="3">
        <v>2</v>
      </c>
      <c r="P65" s="3">
        <v>18</v>
      </c>
      <c r="Q65" s="3">
        <v>45</v>
      </c>
      <c r="R65" s="3">
        <v>30</v>
      </c>
      <c r="S65" s="3"/>
      <c r="T65" s="5">
        <v>0.1179</v>
      </c>
      <c r="U65" s="5">
        <v>0.48039999999999999</v>
      </c>
      <c r="V65" s="3">
        <v>2</v>
      </c>
      <c r="W65" s="3">
        <v>17</v>
      </c>
      <c r="X65" s="3">
        <v>35</v>
      </c>
    </row>
    <row r="66" spans="1:24">
      <c r="A66" s="3" t="s">
        <v>52</v>
      </c>
      <c r="B66" s="3">
        <v>2025</v>
      </c>
      <c r="C66" s="3">
        <v>5</v>
      </c>
      <c r="D66" s="3" t="s">
        <v>60</v>
      </c>
      <c r="E66" s="4" t="b">
        <v>1</v>
      </c>
      <c r="F66" s="3">
        <v>242</v>
      </c>
      <c r="G66" s="3">
        <v>238</v>
      </c>
      <c r="H66" s="3">
        <f>HistoricalData[[#This Row],[staff_plan]]-HistoricalData[[#This Row],[staff_fact]]</f>
        <v>4</v>
      </c>
      <c r="I66" s="5">
        <v>2.29E-2</v>
      </c>
      <c r="J66" s="5">
        <v>9.7299999999999998E-2</v>
      </c>
      <c r="K66" s="3">
        <v>10</v>
      </c>
      <c r="L66" s="3">
        <v>3</v>
      </c>
      <c r="M66" s="3">
        <v>3</v>
      </c>
      <c r="N66" s="3">
        <v>9</v>
      </c>
      <c r="O66" s="3">
        <v>2</v>
      </c>
      <c r="P66" s="3">
        <v>18</v>
      </c>
      <c r="Q66" s="3">
        <v>45</v>
      </c>
      <c r="R66" s="3">
        <v>30</v>
      </c>
      <c r="S66" s="3"/>
      <c r="T66" s="5">
        <v>0.1008</v>
      </c>
      <c r="U66" s="5">
        <v>0.48849999999999999</v>
      </c>
      <c r="V66" s="3">
        <v>3</v>
      </c>
      <c r="W66" s="3">
        <v>30</v>
      </c>
      <c r="X66" s="3">
        <v>61</v>
      </c>
    </row>
    <row r="67" spans="1:24">
      <c r="A67" s="3" t="s">
        <v>53</v>
      </c>
      <c r="B67" s="3">
        <v>2025</v>
      </c>
      <c r="C67" s="3">
        <v>6</v>
      </c>
      <c r="D67" s="3" t="s">
        <v>60</v>
      </c>
      <c r="E67" s="4" t="b">
        <v>1</v>
      </c>
      <c r="F67" s="3">
        <v>242</v>
      </c>
      <c r="G67" s="3">
        <v>235</v>
      </c>
      <c r="H67" s="3">
        <f>HistoricalData[[#This Row],[staff_plan]]-HistoricalData[[#This Row],[staff_fact]]</f>
        <v>7</v>
      </c>
      <c r="I67" s="5">
        <v>2.41E-2</v>
      </c>
      <c r="J67" s="5">
        <v>8.9399999999999993E-2</v>
      </c>
      <c r="K67" s="3">
        <v>9</v>
      </c>
      <c r="L67" s="3">
        <v>7</v>
      </c>
      <c r="M67" s="3">
        <v>3</v>
      </c>
      <c r="N67" s="3">
        <v>12</v>
      </c>
      <c r="O67" s="3">
        <v>2</v>
      </c>
      <c r="P67" s="3">
        <v>18</v>
      </c>
      <c r="Q67" s="3">
        <v>45</v>
      </c>
      <c r="R67" s="3">
        <v>30</v>
      </c>
      <c r="S67" s="3"/>
      <c r="T67" s="5">
        <v>0.11550000000000001</v>
      </c>
      <c r="U67" s="5">
        <v>0.45979999999999999</v>
      </c>
      <c r="V67" s="3">
        <v>7</v>
      </c>
      <c r="W67" s="3">
        <v>61</v>
      </c>
      <c r="X67" s="3">
        <v>133</v>
      </c>
    </row>
    <row r="68" spans="1:24">
      <c r="A68" s="3" t="s">
        <v>54</v>
      </c>
      <c r="B68" s="3">
        <v>2025</v>
      </c>
      <c r="C68" s="3">
        <v>7</v>
      </c>
      <c r="D68" s="3" t="s">
        <v>60</v>
      </c>
      <c r="E68" s="4" t="b">
        <v>1</v>
      </c>
      <c r="F68" s="3">
        <v>242</v>
      </c>
      <c r="G68" s="3">
        <v>233</v>
      </c>
      <c r="H68" s="3">
        <f>HistoricalData[[#This Row],[staff_plan]]-HistoricalData[[#This Row],[staff_fact]]</f>
        <v>9</v>
      </c>
      <c r="I68" s="5">
        <v>2.64E-2</v>
      </c>
      <c r="J68" s="5">
        <v>0.1123</v>
      </c>
      <c r="K68" s="3">
        <v>12</v>
      </c>
      <c r="L68" s="3">
        <v>11</v>
      </c>
      <c r="M68" s="3">
        <v>4</v>
      </c>
      <c r="N68" s="3">
        <v>18</v>
      </c>
      <c r="O68" s="3">
        <v>2</v>
      </c>
      <c r="P68" s="3">
        <v>18</v>
      </c>
      <c r="Q68" s="3">
        <v>45</v>
      </c>
      <c r="R68" s="3">
        <v>30</v>
      </c>
      <c r="S68" s="3"/>
      <c r="T68" s="5">
        <v>0.1066</v>
      </c>
      <c r="U68" s="5">
        <v>0.46589999999999998</v>
      </c>
      <c r="V68" s="3">
        <v>11</v>
      </c>
      <c r="W68" s="3">
        <v>103</v>
      </c>
      <c r="X68" s="3">
        <v>221</v>
      </c>
    </row>
    <row r="69" spans="1:24">
      <c r="A69" s="3" t="s">
        <v>55</v>
      </c>
      <c r="B69" s="3">
        <v>2025</v>
      </c>
      <c r="C69" s="3">
        <v>8</v>
      </c>
      <c r="D69" s="3" t="s">
        <v>60</v>
      </c>
      <c r="E69" s="4" t="b">
        <v>1</v>
      </c>
      <c r="F69" s="3">
        <v>242</v>
      </c>
      <c r="G69" s="3">
        <v>234</v>
      </c>
      <c r="H69" s="3">
        <f>HistoricalData[[#This Row],[staff_plan]]-HistoricalData[[#This Row],[staff_fact]]</f>
        <v>8</v>
      </c>
      <c r="I69" s="5">
        <v>2.7099999999999999E-2</v>
      </c>
      <c r="J69" s="5">
        <v>0.11459999999999999</v>
      </c>
      <c r="K69" s="3">
        <v>18</v>
      </c>
      <c r="L69" s="3">
        <v>10</v>
      </c>
      <c r="M69" s="3">
        <v>7</v>
      </c>
      <c r="N69" s="3">
        <v>19</v>
      </c>
      <c r="O69" s="3">
        <v>1</v>
      </c>
      <c r="P69" s="3">
        <v>18</v>
      </c>
      <c r="Q69" s="3">
        <v>45</v>
      </c>
      <c r="R69" s="3">
        <v>30</v>
      </c>
      <c r="S69" s="3"/>
      <c r="T69" s="5">
        <v>0.1173</v>
      </c>
      <c r="U69" s="5">
        <v>0.46920000000000001</v>
      </c>
      <c r="V69" s="3">
        <v>10</v>
      </c>
      <c r="W69" s="3">
        <v>85</v>
      </c>
      <c r="X69" s="3">
        <v>181</v>
      </c>
    </row>
    <row r="70" spans="1:24">
      <c r="A70" s="3" t="s">
        <v>56</v>
      </c>
      <c r="B70" s="3">
        <v>2025</v>
      </c>
      <c r="C70" s="3">
        <v>9</v>
      </c>
      <c r="D70" s="3" t="s">
        <v>60</v>
      </c>
      <c r="E70" s="4" t="b">
        <v>1</v>
      </c>
      <c r="F70" s="3">
        <v>242</v>
      </c>
      <c r="G70" s="3">
        <v>234</v>
      </c>
      <c r="H70" s="3">
        <f>HistoricalData[[#This Row],[staff_plan]]-HistoricalData[[#This Row],[staff_fact]]</f>
        <v>8</v>
      </c>
      <c r="I70" s="5">
        <v>2.1499999999999998E-2</v>
      </c>
      <c r="J70" s="5">
        <v>0.1053</v>
      </c>
      <c r="K70" s="3">
        <v>19</v>
      </c>
      <c r="L70" s="3">
        <v>11</v>
      </c>
      <c r="M70" s="3">
        <v>5</v>
      </c>
      <c r="N70" s="3">
        <v>23</v>
      </c>
      <c r="O70" s="3">
        <v>1</v>
      </c>
      <c r="P70" s="3">
        <v>18</v>
      </c>
      <c r="Q70" s="3">
        <v>45</v>
      </c>
      <c r="R70" s="3">
        <v>30</v>
      </c>
      <c r="S70" s="3"/>
      <c r="T70" s="5">
        <v>0.1176</v>
      </c>
      <c r="U70" s="5">
        <v>0.42259999999999998</v>
      </c>
      <c r="V70" s="3">
        <v>11</v>
      </c>
      <c r="W70" s="3">
        <v>94</v>
      </c>
      <c r="X70" s="3">
        <v>222</v>
      </c>
    </row>
    <row r="71" spans="1:24">
      <c r="A71" s="3" t="s">
        <v>57</v>
      </c>
      <c r="B71" s="3">
        <v>2025</v>
      </c>
      <c r="C71" s="3">
        <v>10</v>
      </c>
      <c r="D71" s="3" t="s">
        <v>60</v>
      </c>
      <c r="E71" s="4" t="b">
        <v>1</v>
      </c>
      <c r="F71" s="3">
        <v>245</v>
      </c>
      <c r="G71" s="3">
        <v>234</v>
      </c>
      <c r="H71" s="3">
        <f>HistoricalData[[#This Row],[staff_plan]]-HistoricalData[[#This Row],[staff_fact]]</f>
        <v>11</v>
      </c>
      <c r="I71" s="5">
        <v>2.3300000000000001E-2</v>
      </c>
      <c r="J71" s="5">
        <v>0.10489999999999999</v>
      </c>
      <c r="K71" s="3">
        <v>23</v>
      </c>
      <c r="L71" s="3">
        <v>8</v>
      </c>
      <c r="M71" s="3">
        <v>5</v>
      </c>
      <c r="N71" s="3">
        <v>24</v>
      </c>
      <c r="O71" s="3">
        <v>1</v>
      </c>
      <c r="P71" s="3">
        <v>18</v>
      </c>
      <c r="Q71" s="3">
        <v>45</v>
      </c>
      <c r="R71" s="3">
        <v>30</v>
      </c>
      <c r="S71" s="3"/>
      <c r="T71" s="5">
        <v>0.1046</v>
      </c>
      <c r="U71" s="5">
        <v>0.46760000000000002</v>
      </c>
      <c r="V71" s="3">
        <v>8</v>
      </c>
      <c r="W71" s="3">
        <v>76</v>
      </c>
      <c r="X71" s="3">
        <v>163</v>
      </c>
    </row>
    <row r="72" spans="1:24">
      <c r="A72" s="3" t="s">
        <v>58</v>
      </c>
      <c r="B72" s="3">
        <v>2025</v>
      </c>
      <c r="C72" s="3">
        <v>11</v>
      </c>
      <c r="D72" s="3" t="s">
        <v>60</v>
      </c>
      <c r="E72" s="4" t="b">
        <v>1</v>
      </c>
      <c r="F72" s="3">
        <v>245</v>
      </c>
      <c r="G72" s="3">
        <v>237</v>
      </c>
      <c r="H72" s="3">
        <f>HistoricalData[[#This Row],[staff_plan]]-HistoricalData[[#This Row],[staff_fact]]</f>
        <v>8</v>
      </c>
      <c r="I72" s="5">
        <v>2.3300000000000001E-2</v>
      </c>
      <c r="J72" s="5">
        <v>9.6699999999999994E-2</v>
      </c>
      <c r="K72" s="3">
        <v>24</v>
      </c>
      <c r="L72" s="3">
        <v>5</v>
      </c>
      <c r="M72" s="3">
        <v>8</v>
      </c>
      <c r="N72" s="3">
        <v>19</v>
      </c>
      <c r="O72" s="3">
        <v>1</v>
      </c>
      <c r="P72" s="3">
        <v>18</v>
      </c>
      <c r="Q72" s="3">
        <v>45</v>
      </c>
      <c r="R72" s="3">
        <v>30</v>
      </c>
      <c r="S72" s="3"/>
      <c r="T72" s="5">
        <v>0.1169</v>
      </c>
      <c r="U72" s="5">
        <v>0.43240000000000001</v>
      </c>
      <c r="V72" s="3">
        <v>5</v>
      </c>
      <c r="W72" s="3">
        <v>43</v>
      </c>
      <c r="X72" s="3">
        <v>99</v>
      </c>
    </row>
    <row r="73" spans="1:24">
      <c r="A73" s="3" t="s">
        <v>59</v>
      </c>
      <c r="B73" s="3">
        <v>2025</v>
      </c>
      <c r="C73" s="3">
        <v>12</v>
      </c>
      <c r="D73" s="3" t="s">
        <v>60</v>
      </c>
      <c r="E73" s="4" t="b">
        <v>1</v>
      </c>
      <c r="F73" s="3">
        <v>245</v>
      </c>
      <c r="G73" s="3">
        <v>236</v>
      </c>
      <c r="H73" s="3">
        <f>HistoricalData[[#This Row],[staff_plan]]-HistoricalData[[#This Row],[staff_fact]]</f>
        <v>9</v>
      </c>
      <c r="I73" s="5">
        <v>1.9699999999999999E-2</v>
      </c>
      <c r="J73" s="5">
        <v>9.5799999999999996E-2</v>
      </c>
      <c r="K73" s="3">
        <v>19</v>
      </c>
      <c r="L73" s="3">
        <v>8</v>
      </c>
      <c r="M73" s="3">
        <v>4</v>
      </c>
      <c r="N73" s="3">
        <v>21</v>
      </c>
      <c r="O73" s="3">
        <v>1</v>
      </c>
      <c r="P73" s="3">
        <v>18</v>
      </c>
      <c r="Q73" s="3">
        <v>45</v>
      </c>
      <c r="R73" s="3">
        <v>30</v>
      </c>
      <c r="S73" s="3"/>
      <c r="T73" s="5">
        <v>0.1205</v>
      </c>
      <c r="U73" s="5">
        <v>0.44819999999999999</v>
      </c>
      <c r="V73" s="3">
        <v>8</v>
      </c>
      <c r="W73" s="3">
        <v>66</v>
      </c>
      <c r="X73" s="3">
        <v>147</v>
      </c>
    </row>
    <row r="74" spans="1:24">
      <c r="A74" s="3" t="s">
        <v>23</v>
      </c>
      <c r="B74" s="3">
        <v>2023</v>
      </c>
      <c r="C74" s="3">
        <v>1</v>
      </c>
      <c r="D74" s="3" t="s">
        <v>61</v>
      </c>
      <c r="E74" s="4" t="b">
        <v>0</v>
      </c>
      <c r="F74" s="3">
        <v>95</v>
      </c>
      <c r="G74" s="3">
        <v>88</v>
      </c>
      <c r="H74" s="3">
        <f>HistoricalData[[#This Row],[staff_plan]]-HistoricalData[[#This Row],[staff_fact]]</f>
        <v>7</v>
      </c>
      <c r="I74" s="5">
        <v>2.1899999999999999E-2</v>
      </c>
      <c r="J74" s="5"/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45</v>
      </c>
      <c r="S74" s="3">
        <v>15</v>
      </c>
      <c r="T74" s="5">
        <v>9.9199999999999997E-2</v>
      </c>
      <c r="U74" s="5">
        <v>0.34889999999999999</v>
      </c>
      <c r="V74" s="3">
        <v>5</v>
      </c>
      <c r="W74" s="3">
        <v>50</v>
      </c>
      <c r="X74" s="3">
        <v>143</v>
      </c>
    </row>
    <row r="75" spans="1:24">
      <c r="A75" s="3" t="s">
        <v>25</v>
      </c>
      <c r="B75" s="3">
        <v>2023</v>
      </c>
      <c r="C75" s="3">
        <v>2</v>
      </c>
      <c r="D75" s="3" t="s">
        <v>61</v>
      </c>
      <c r="E75" s="4" t="b">
        <v>0</v>
      </c>
      <c r="F75" s="3">
        <v>95</v>
      </c>
      <c r="G75" s="3">
        <v>94</v>
      </c>
      <c r="H75" s="3">
        <f>HistoricalData[[#This Row],[staff_plan]]-HistoricalData[[#This Row],[staff_fact]]</f>
        <v>1</v>
      </c>
      <c r="I75" s="5">
        <v>2.29E-2</v>
      </c>
      <c r="J75" s="5"/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45</v>
      </c>
      <c r="S75" s="3">
        <v>15</v>
      </c>
      <c r="T75" s="5">
        <v>8.8099999999999998E-2</v>
      </c>
      <c r="U75" s="5">
        <v>0.38919999999999999</v>
      </c>
      <c r="V75" s="3">
        <v>8</v>
      </c>
      <c r="W75" s="3">
        <v>91</v>
      </c>
      <c r="X75" s="3">
        <v>234</v>
      </c>
    </row>
    <row r="76" spans="1:24">
      <c r="A76" s="3" t="s">
        <v>26</v>
      </c>
      <c r="B76" s="3">
        <v>2023</v>
      </c>
      <c r="C76" s="3">
        <v>3</v>
      </c>
      <c r="D76" s="3" t="s">
        <v>61</v>
      </c>
      <c r="E76" s="4" t="b">
        <v>0</v>
      </c>
      <c r="F76" s="3">
        <v>95</v>
      </c>
      <c r="G76" s="3">
        <v>94</v>
      </c>
      <c r="H76" s="3">
        <f>HistoricalData[[#This Row],[staff_plan]]-HistoricalData[[#This Row],[staff_fact]]</f>
        <v>1</v>
      </c>
      <c r="I76" s="5">
        <v>2.2499999999999999E-2</v>
      </c>
      <c r="J76" s="5"/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45</v>
      </c>
      <c r="S76" s="3">
        <v>15</v>
      </c>
      <c r="T76" s="5">
        <v>8.72E-2</v>
      </c>
      <c r="U76" s="5">
        <v>0.36280000000000001</v>
      </c>
      <c r="V76" s="3">
        <v>2</v>
      </c>
      <c r="W76" s="3">
        <v>23</v>
      </c>
      <c r="X76" s="3">
        <v>63</v>
      </c>
    </row>
    <row r="77" spans="1:24">
      <c r="A77" s="3" t="s">
        <v>27</v>
      </c>
      <c r="B77" s="3">
        <v>2023</v>
      </c>
      <c r="C77" s="3">
        <v>4</v>
      </c>
      <c r="D77" s="3" t="s">
        <v>61</v>
      </c>
      <c r="E77" s="4" t="b">
        <v>0</v>
      </c>
      <c r="F77" s="3">
        <v>95</v>
      </c>
      <c r="G77" s="3">
        <v>94</v>
      </c>
      <c r="H77" s="3">
        <f>HistoricalData[[#This Row],[staff_plan]]-HistoricalData[[#This Row],[staff_fact]]</f>
        <v>1</v>
      </c>
      <c r="I77" s="5">
        <v>3.3799999999999997E-2</v>
      </c>
      <c r="J77" s="5"/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45</v>
      </c>
      <c r="S77" s="3">
        <v>15</v>
      </c>
      <c r="T77" s="5">
        <v>9.1700000000000004E-2</v>
      </c>
      <c r="U77" s="5">
        <v>0.33160000000000001</v>
      </c>
      <c r="V77" s="3">
        <v>3</v>
      </c>
      <c r="W77" s="3">
        <v>33</v>
      </c>
      <c r="X77" s="3">
        <v>100</v>
      </c>
    </row>
    <row r="78" spans="1:24">
      <c r="A78" s="3" t="s">
        <v>28</v>
      </c>
      <c r="B78" s="3">
        <v>2023</v>
      </c>
      <c r="C78" s="3">
        <v>5</v>
      </c>
      <c r="D78" s="3" t="s">
        <v>61</v>
      </c>
      <c r="E78" s="4" t="b">
        <v>0</v>
      </c>
      <c r="F78" s="3">
        <v>96</v>
      </c>
      <c r="G78" s="3">
        <v>95</v>
      </c>
      <c r="H78" s="3">
        <f>HistoricalData[[#This Row],[staff_plan]]-HistoricalData[[#This Row],[staff_fact]]</f>
        <v>1</v>
      </c>
      <c r="I78" s="5">
        <v>2.9600000000000001E-2</v>
      </c>
      <c r="J78" s="5"/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45</v>
      </c>
      <c r="S78" s="3">
        <v>15</v>
      </c>
      <c r="T78" s="5">
        <v>9.0200000000000002E-2</v>
      </c>
      <c r="U78" s="5">
        <v>0.40689999999999998</v>
      </c>
      <c r="V78" s="3">
        <v>4</v>
      </c>
      <c r="W78" s="3">
        <v>44</v>
      </c>
      <c r="X78" s="3">
        <v>108</v>
      </c>
    </row>
    <row r="79" spans="1:24">
      <c r="A79" s="3" t="s">
        <v>29</v>
      </c>
      <c r="B79" s="3">
        <v>2023</v>
      </c>
      <c r="C79" s="3">
        <v>6</v>
      </c>
      <c r="D79" s="3" t="s">
        <v>61</v>
      </c>
      <c r="E79" s="4" t="b">
        <v>0</v>
      </c>
      <c r="F79" s="3">
        <v>96</v>
      </c>
      <c r="G79" s="3">
        <v>95</v>
      </c>
      <c r="H79" s="3">
        <f>HistoricalData[[#This Row],[staff_plan]]-HistoricalData[[#This Row],[staff_fact]]</f>
        <v>1</v>
      </c>
      <c r="I79" s="5">
        <v>4.2000000000000003E-2</v>
      </c>
      <c r="J79" s="5"/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45</v>
      </c>
      <c r="S79" s="3">
        <v>15</v>
      </c>
      <c r="T79" s="5">
        <v>8.0799999999999997E-2</v>
      </c>
      <c r="U79" s="5">
        <v>0.3322</v>
      </c>
      <c r="V79" s="3">
        <v>4</v>
      </c>
      <c r="W79" s="3">
        <v>49</v>
      </c>
      <c r="X79" s="3">
        <v>148</v>
      </c>
    </row>
    <row r="80" spans="1:24">
      <c r="A80" s="3" t="s">
        <v>30</v>
      </c>
      <c r="B80" s="3">
        <v>2023</v>
      </c>
      <c r="C80" s="3">
        <v>7</v>
      </c>
      <c r="D80" s="3" t="s">
        <v>61</v>
      </c>
      <c r="E80" s="4" t="b">
        <v>0</v>
      </c>
      <c r="F80" s="3">
        <v>96</v>
      </c>
      <c r="G80" s="3">
        <v>95</v>
      </c>
      <c r="H80" s="3">
        <f>HistoricalData[[#This Row],[staff_plan]]-HistoricalData[[#This Row],[staff_fact]]</f>
        <v>1</v>
      </c>
      <c r="I80" s="5">
        <v>3.8300000000000001E-2</v>
      </c>
      <c r="J80" s="5"/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45</v>
      </c>
      <c r="S80" s="3">
        <v>15</v>
      </c>
      <c r="T80" s="5">
        <v>9.3700000000000006E-2</v>
      </c>
      <c r="U80" s="5">
        <v>0.38179999999999997</v>
      </c>
      <c r="V80" s="3">
        <v>4</v>
      </c>
      <c r="W80" s="3">
        <v>43</v>
      </c>
      <c r="X80" s="3">
        <v>113</v>
      </c>
    </row>
    <row r="81" spans="1:24">
      <c r="A81" s="3" t="s">
        <v>31</v>
      </c>
      <c r="B81" s="3">
        <v>2023</v>
      </c>
      <c r="C81" s="3">
        <v>8</v>
      </c>
      <c r="D81" s="3" t="s">
        <v>61</v>
      </c>
      <c r="E81" s="4" t="b">
        <v>0</v>
      </c>
      <c r="F81" s="3">
        <v>96</v>
      </c>
      <c r="G81" s="3">
        <v>95</v>
      </c>
      <c r="H81" s="3">
        <f>HistoricalData[[#This Row],[staff_plan]]-HistoricalData[[#This Row],[staff_fact]]</f>
        <v>1</v>
      </c>
      <c r="I81" s="5">
        <v>4.0500000000000001E-2</v>
      </c>
      <c r="J81" s="5"/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45</v>
      </c>
      <c r="S81" s="3">
        <v>15</v>
      </c>
      <c r="T81" s="5">
        <v>8.14E-2</v>
      </c>
      <c r="U81" s="5">
        <v>0.40250000000000002</v>
      </c>
      <c r="V81" s="3">
        <v>4</v>
      </c>
      <c r="W81" s="3">
        <v>49</v>
      </c>
      <c r="X81" s="3">
        <v>122</v>
      </c>
    </row>
    <row r="82" spans="1:24">
      <c r="A82" s="3" t="s">
        <v>32</v>
      </c>
      <c r="B82" s="3">
        <v>2023</v>
      </c>
      <c r="C82" s="3">
        <v>9</v>
      </c>
      <c r="D82" s="3" t="s">
        <v>61</v>
      </c>
      <c r="E82" s="4" t="b">
        <v>0</v>
      </c>
      <c r="F82" s="3">
        <v>96</v>
      </c>
      <c r="G82" s="3">
        <v>94</v>
      </c>
      <c r="H82" s="3">
        <f>HistoricalData[[#This Row],[staff_plan]]-HistoricalData[[#This Row],[staff_fact]]</f>
        <v>2</v>
      </c>
      <c r="I82" s="5">
        <v>3.5299999999999998E-2</v>
      </c>
      <c r="J82" s="5"/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45</v>
      </c>
      <c r="S82" s="3">
        <v>15</v>
      </c>
      <c r="T82" s="5">
        <v>8.0500000000000002E-2</v>
      </c>
      <c r="U82" s="5">
        <v>0.36930000000000002</v>
      </c>
      <c r="V82" s="3">
        <v>2</v>
      </c>
      <c r="W82" s="3">
        <v>25</v>
      </c>
      <c r="X82" s="3">
        <v>68</v>
      </c>
    </row>
    <row r="83" spans="1:24">
      <c r="A83" s="3" t="s">
        <v>33</v>
      </c>
      <c r="B83" s="3">
        <v>2023</v>
      </c>
      <c r="C83" s="3">
        <v>10</v>
      </c>
      <c r="D83" s="3" t="s">
        <v>61</v>
      </c>
      <c r="E83" s="4" t="b">
        <v>0</v>
      </c>
      <c r="F83" s="3">
        <v>96</v>
      </c>
      <c r="G83" s="3">
        <v>94</v>
      </c>
      <c r="H83" s="3">
        <f>HistoricalData[[#This Row],[staff_plan]]-HistoricalData[[#This Row],[staff_fact]]</f>
        <v>2</v>
      </c>
      <c r="I83" s="5">
        <v>3.1E-2</v>
      </c>
      <c r="J83" s="5"/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45</v>
      </c>
      <c r="S83" s="3">
        <v>15</v>
      </c>
      <c r="T83" s="5">
        <v>7.8799999999999995E-2</v>
      </c>
      <c r="U83" s="5">
        <v>0.39140000000000003</v>
      </c>
      <c r="V83" s="3">
        <v>3</v>
      </c>
      <c r="W83" s="3">
        <v>38</v>
      </c>
      <c r="X83" s="3">
        <v>97</v>
      </c>
    </row>
    <row r="84" spans="1:24">
      <c r="A84" s="3" t="s">
        <v>34</v>
      </c>
      <c r="B84" s="3">
        <v>2023</v>
      </c>
      <c r="C84" s="3">
        <v>11</v>
      </c>
      <c r="D84" s="3" t="s">
        <v>61</v>
      </c>
      <c r="E84" s="4" t="b">
        <v>0</v>
      </c>
      <c r="F84" s="3">
        <v>96</v>
      </c>
      <c r="G84" s="3">
        <v>95</v>
      </c>
      <c r="H84" s="3">
        <f>HistoricalData[[#This Row],[staff_plan]]-HistoricalData[[#This Row],[staff_fact]]</f>
        <v>1</v>
      </c>
      <c r="I84" s="5">
        <v>2.46E-2</v>
      </c>
      <c r="J84" s="5"/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45</v>
      </c>
      <c r="S84" s="3">
        <v>15</v>
      </c>
      <c r="T84" s="5">
        <v>8.5599999999999996E-2</v>
      </c>
      <c r="U84" s="5">
        <v>0.34710000000000002</v>
      </c>
      <c r="V84" s="3">
        <v>3</v>
      </c>
      <c r="W84" s="3">
        <v>35</v>
      </c>
      <c r="X84" s="3">
        <v>101</v>
      </c>
    </row>
    <row r="85" spans="1:24">
      <c r="A85" s="3" t="s">
        <v>35</v>
      </c>
      <c r="B85" s="3">
        <v>2023</v>
      </c>
      <c r="C85" s="3">
        <v>12</v>
      </c>
      <c r="D85" s="3" t="s">
        <v>61</v>
      </c>
      <c r="E85" s="4" t="b">
        <v>0</v>
      </c>
      <c r="F85" s="3">
        <v>97</v>
      </c>
      <c r="G85" s="3">
        <v>97</v>
      </c>
      <c r="H85" s="3">
        <f>HistoricalData[[#This Row],[staff_plan]]-HistoricalData[[#This Row],[staff_fact]]</f>
        <v>0</v>
      </c>
      <c r="I85" s="5">
        <v>2.4899999999999999E-2</v>
      </c>
      <c r="J85" s="5"/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45</v>
      </c>
      <c r="S85" s="3">
        <v>15</v>
      </c>
      <c r="T85" s="5">
        <v>0.1014</v>
      </c>
      <c r="U85" s="5">
        <v>0.38629999999999998</v>
      </c>
      <c r="V85" s="3">
        <v>4</v>
      </c>
      <c r="W85" s="3">
        <v>39</v>
      </c>
      <c r="X85" s="3">
        <v>101</v>
      </c>
    </row>
    <row r="86" spans="1:24">
      <c r="A86" s="3" t="s">
        <v>36</v>
      </c>
      <c r="B86" s="3">
        <v>2024</v>
      </c>
      <c r="C86" s="3">
        <v>1</v>
      </c>
      <c r="D86" s="3" t="s">
        <v>61</v>
      </c>
      <c r="E86" s="4" t="b">
        <v>0</v>
      </c>
      <c r="F86" s="3">
        <v>98</v>
      </c>
      <c r="G86" s="3">
        <v>98</v>
      </c>
      <c r="H86" s="3">
        <f>HistoricalData[[#This Row],[staff_plan]]-HistoricalData[[#This Row],[staff_fact]]</f>
        <v>0</v>
      </c>
      <c r="I86" s="5">
        <v>0.02</v>
      </c>
      <c r="J86" s="5"/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45</v>
      </c>
      <c r="S86" s="3">
        <v>15</v>
      </c>
      <c r="T86" s="5">
        <v>8.0799999999999997E-2</v>
      </c>
      <c r="U86" s="5">
        <v>0.3725</v>
      </c>
      <c r="V86" s="3">
        <v>3</v>
      </c>
      <c r="W86" s="3">
        <v>37</v>
      </c>
      <c r="X86" s="3">
        <v>99</v>
      </c>
    </row>
    <row r="87" spans="1:24">
      <c r="A87" s="3" t="s">
        <v>37</v>
      </c>
      <c r="B87" s="3">
        <v>2024</v>
      </c>
      <c r="C87" s="3">
        <v>2</v>
      </c>
      <c r="D87" s="3" t="s">
        <v>61</v>
      </c>
      <c r="E87" s="4" t="b">
        <v>0</v>
      </c>
      <c r="F87" s="3">
        <v>98</v>
      </c>
      <c r="G87" s="3">
        <v>98</v>
      </c>
      <c r="H87" s="3">
        <f>HistoricalData[[#This Row],[staff_plan]]-HistoricalData[[#This Row],[staff_fact]]</f>
        <v>0</v>
      </c>
      <c r="I87" s="5">
        <v>2.6100000000000002E-2</v>
      </c>
      <c r="J87" s="5"/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45</v>
      </c>
      <c r="S87" s="3">
        <v>15</v>
      </c>
      <c r="T87" s="5">
        <v>9.01E-2</v>
      </c>
      <c r="U87" s="5">
        <v>0.3533</v>
      </c>
      <c r="V87" s="3">
        <v>3</v>
      </c>
      <c r="W87" s="3">
        <v>33</v>
      </c>
      <c r="X87" s="3">
        <v>93</v>
      </c>
    </row>
    <row r="88" spans="1:24">
      <c r="A88" s="3" t="s">
        <v>38</v>
      </c>
      <c r="B88" s="3">
        <v>2024</v>
      </c>
      <c r="C88" s="3">
        <v>3</v>
      </c>
      <c r="D88" s="3" t="s">
        <v>61</v>
      </c>
      <c r="E88" s="4" t="b">
        <v>0</v>
      </c>
      <c r="F88" s="3">
        <v>98</v>
      </c>
      <c r="G88" s="3">
        <v>98</v>
      </c>
      <c r="H88" s="3">
        <f>HistoricalData[[#This Row],[staff_plan]]-HistoricalData[[#This Row],[staff_fact]]</f>
        <v>0</v>
      </c>
      <c r="I88" s="5">
        <v>2.6599999999999999E-2</v>
      </c>
      <c r="J88" s="5"/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45</v>
      </c>
      <c r="S88" s="3">
        <v>15</v>
      </c>
      <c r="T88" s="5">
        <v>7.0699999999999999E-2</v>
      </c>
      <c r="U88" s="5">
        <v>0.36009999999999998</v>
      </c>
      <c r="V88" s="3">
        <v>3</v>
      </c>
      <c r="W88" s="3">
        <v>42</v>
      </c>
      <c r="X88" s="3">
        <v>117</v>
      </c>
    </row>
    <row r="89" spans="1:24">
      <c r="A89" s="3" t="s">
        <v>39</v>
      </c>
      <c r="B89" s="3">
        <v>2024</v>
      </c>
      <c r="C89" s="3">
        <v>4</v>
      </c>
      <c r="D89" s="3" t="s">
        <v>61</v>
      </c>
      <c r="E89" s="4" t="b">
        <v>0</v>
      </c>
      <c r="F89" s="3">
        <v>98</v>
      </c>
      <c r="G89" s="3">
        <v>97</v>
      </c>
      <c r="H89" s="3">
        <f>HistoricalData[[#This Row],[staff_plan]]-HistoricalData[[#This Row],[staff_fact]]</f>
        <v>1</v>
      </c>
      <c r="I89" s="5">
        <v>3.1600000000000003E-2</v>
      </c>
      <c r="J89" s="5"/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45</v>
      </c>
      <c r="S89" s="3">
        <v>15</v>
      </c>
      <c r="T89" s="5">
        <v>7.5899999999999995E-2</v>
      </c>
      <c r="U89" s="5">
        <v>0.40389999999999998</v>
      </c>
      <c r="V89" s="3">
        <v>2</v>
      </c>
      <c r="W89" s="3">
        <v>26</v>
      </c>
      <c r="X89" s="3">
        <v>64</v>
      </c>
    </row>
    <row r="90" spans="1:24">
      <c r="A90" s="3" t="s">
        <v>40</v>
      </c>
      <c r="B90" s="3">
        <v>2024</v>
      </c>
      <c r="C90" s="3">
        <v>5</v>
      </c>
      <c r="D90" s="3" t="s">
        <v>61</v>
      </c>
      <c r="E90" s="4" t="b">
        <v>0</v>
      </c>
      <c r="F90" s="3">
        <v>98</v>
      </c>
      <c r="G90" s="3">
        <v>97</v>
      </c>
      <c r="H90" s="3">
        <f>HistoricalData[[#This Row],[staff_plan]]-HistoricalData[[#This Row],[staff_fact]]</f>
        <v>1</v>
      </c>
      <c r="I90" s="5">
        <v>3.7199999999999997E-2</v>
      </c>
      <c r="J90" s="5"/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45</v>
      </c>
      <c r="S90" s="3">
        <v>15</v>
      </c>
      <c r="T90" s="5">
        <v>7.0199999999999999E-2</v>
      </c>
      <c r="U90" s="5">
        <v>0.4415</v>
      </c>
      <c r="V90" s="3">
        <v>4</v>
      </c>
      <c r="W90" s="3">
        <v>57</v>
      </c>
      <c r="X90" s="3">
        <v>129</v>
      </c>
    </row>
    <row r="91" spans="1:24">
      <c r="A91" s="3" t="s">
        <v>41</v>
      </c>
      <c r="B91" s="3">
        <v>2024</v>
      </c>
      <c r="C91" s="3">
        <v>6</v>
      </c>
      <c r="D91" s="3" t="s">
        <v>61</v>
      </c>
      <c r="E91" s="4" t="b">
        <v>0</v>
      </c>
      <c r="F91" s="3">
        <v>99</v>
      </c>
      <c r="G91" s="3">
        <v>98</v>
      </c>
      <c r="H91" s="3">
        <f>HistoricalData[[#This Row],[staff_plan]]-HistoricalData[[#This Row],[staff_fact]]</f>
        <v>1</v>
      </c>
      <c r="I91" s="5">
        <v>3.5900000000000001E-2</v>
      </c>
      <c r="J91" s="5"/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45</v>
      </c>
      <c r="S91" s="3">
        <v>15</v>
      </c>
      <c r="T91" s="5">
        <v>8.9599999999999999E-2</v>
      </c>
      <c r="U91" s="5">
        <v>0.36149999999999999</v>
      </c>
      <c r="V91" s="3">
        <v>4</v>
      </c>
      <c r="W91" s="3">
        <v>45</v>
      </c>
      <c r="X91" s="3">
        <v>124</v>
      </c>
    </row>
    <row r="92" spans="1:24">
      <c r="A92" s="3" t="s">
        <v>42</v>
      </c>
      <c r="B92" s="3">
        <v>2024</v>
      </c>
      <c r="C92" s="3">
        <v>7</v>
      </c>
      <c r="D92" s="3" t="s">
        <v>61</v>
      </c>
      <c r="E92" s="4" t="b">
        <v>0</v>
      </c>
      <c r="F92" s="3">
        <v>99</v>
      </c>
      <c r="G92" s="3">
        <v>98</v>
      </c>
      <c r="H92" s="3">
        <f>HistoricalData[[#This Row],[staff_plan]]-HistoricalData[[#This Row],[staff_fact]]</f>
        <v>1</v>
      </c>
      <c r="I92" s="5">
        <v>0.04</v>
      </c>
      <c r="J92" s="5"/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45</v>
      </c>
      <c r="S92" s="3">
        <v>15</v>
      </c>
      <c r="T92" s="5">
        <v>7.7100000000000002E-2</v>
      </c>
      <c r="U92" s="5">
        <v>0.3906</v>
      </c>
      <c r="V92" s="3">
        <v>4</v>
      </c>
      <c r="W92" s="3">
        <v>52</v>
      </c>
      <c r="X92" s="3">
        <v>133</v>
      </c>
    </row>
    <row r="93" spans="1:24">
      <c r="A93" s="3" t="s">
        <v>43</v>
      </c>
      <c r="B93" s="3">
        <v>2024</v>
      </c>
      <c r="C93" s="3">
        <v>8</v>
      </c>
      <c r="D93" s="3" t="s">
        <v>61</v>
      </c>
      <c r="E93" s="4" t="b">
        <v>0</v>
      </c>
      <c r="F93" s="3">
        <v>99</v>
      </c>
      <c r="G93" s="3">
        <v>97</v>
      </c>
      <c r="H93" s="3">
        <f>HistoricalData[[#This Row],[staff_plan]]-HistoricalData[[#This Row],[staff_fact]]</f>
        <v>2</v>
      </c>
      <c r="I93" s="5">
        <v>3.8100000000000002E-2</v>
      </c>
      <c r="J93" s="5"/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45</v>
      </c>
      <c r="S93" s="3">
        <v>15</v>
      </c>
      <c r="T93" s="5">
        <v>7.6600000000000001E-2</v>
      </c>
      <c r="U93" s="5">
        <v>0.40429999999999999</v>
      </c>
      <c r="V93" s="3">
        <v>3</v>
      </c>
      <c r="W93" s="3">
        <v>39</v>
      </c>
      <c r="X93" s="3">
        <v>96</v>
      </c>
    </row>
    <row r="94" spans="1:24">
      <c r="A94" s="3" t="s">
        <v>44</v>
      </c>
      <c r="B94" s="3">
        <v>2024</v>
      </c>
      <c r="C94" s="3">
        <v>9</v>
      </c>
      <c r="D94" s="3" t="s">
        <v>61</v>
      </c>
      <c r="E94" s="4" t="b">
        <v>0</v>
      </c>
      <c r="F94" s="3">
        <v>99</v>
      </c>
      <c r="G94" s="3">
        <v>97</v>
      </c>
      <c r="H94" s="3">
        <f>HistoricalData[[#This Row],[staff_plan]]-HistoricalData[[#This Row],[staff_fact]]</f>
        <v>2</v>
      </c>
      <c r="I94" s="5">
        <v>3.3300000000000003E-2</v>
      </c>
      <c r="J94" s="5"/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45</v>
      </c>
      <c r="S94" s="3">
        <v>15</v>
      </c>
      <c r="T94" s="5">
        <v>9.6500000000000002E-2</v>
      </c>
      <c r="U94" s="5">
        <v>0.40489999999999998</v>
      </c>
      <c r="V94" s="3">
        <v>3</v>
      </c>
      <c r="W94" s="3">
        <v>31</v>
      </c>
      <c r="X94" s="3">
        <v>77</v>
      </c>
    </row>
    <row r="95" spans="1:24">
      <c r="A95" s="3" t="s">
        <v>45</v>
      </c>
      <c r="B95" s="3">
        <v>2024</v>
      </c>
      <c r="C95" s="3">
        <v>10</v>
      </c>
      <c r="D95" s="3" t="s">
        <v>61</v>
      </c>
      <c r="E95" s="4" t="b">
        <v>0</v>
      </c>
      <c r="F95" s="3">
        <v>99</v>
      </c>
      <c r="G95" s="3">
        <v>98</v>
      </c>
      <c r="H95" s="3">
        <f>HistoricalData[[#This Row],[staff_plan]]-HistoricalData[[#This Row],[staff_fact]]</f>
        <v>1</v>
      </c>
      <c r="I95" s="5">
        <v>3.0700000000000002E-2</v>
      </c>
      <c r="J95" s="5"/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45</v>
      </c>
      <c r="S95" s="3">
        <v>15</v>
      </c>
      <c r="T95" s="5">
        <v>7.1900000000000006E-2</v>
      </c>
      <c r="U95" s="5">
        <v>0.38769999999999999</v>
      </c>
      <c r="V95" s="3">
        <v>4</v>
      </c>
      <c r="W95" s="3">
        <v>56</v>
      </c>
      <c r="X95" s="3">
        <v>144</v>
      </c>
    </row>
    <row r="96" spans="1:24">
      <c r="A96" s="3" t="s">
        <v>46</v>
      </c>
      <c r="B96" s="3">
        <v>2024</v>
      </c>
      <c r="C96" s="3">
        <v>11</v>
      </c>
      <c r="D96" s="3" t="s">
        <v>61</v>
      </c>
      <c r="E96" s="4" t="b">
        <v>0</v>
      </c>
      <c r="F96" s="3">
        <v>99</v>
      </c>
      <c r="G96" s="3">
        <v>98</v>
      </c>
      <c r="H96" s="3">
        <f>HistoricalData[[#This Row],[staff_plan]]-HistoricalData[[#This Row],[staff_fact]]</f>
        <v>1</v>
      </c>
      <c r="I96" s="5">
        <v>3.2800000000000003E-2</v>
      </c>
      <c r="J96" s="5"/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45</v>
      </c>
      <c r="S96" s="3">
        <v>15</v>
      </c>
      <c r="T96" s="5">
        <v>9.1300000000000006E-2</v>
      </c>
      <c r="U96" s="5">
        <v>0.437</v>
      </c>
      <c r="V96" s="3">
        <v>3</v>
      </c>
      <c r="W96" s="3">
        <v>33</v>
      </c>
      <c r="X96" s="3">
        <v>76</v>
      </c>
    </row>
    <row r="97" spans="1:24">
      <c r="A97" s="3" t="s">
        <v>47</v>
      </c>
      <c r="B97" s="3">
        <v>2024</v>
      </c>
      <c r="C97" s="3">
        <v>12</v>
      </c>
      <c r="D97" s="3" t="s">
        <v>61</v>
      </c>
      <c r="E97" s="4" t="b">
        <v>0</v>
      </c>
      <c r="F97" s="3">
        <v>100</v>
      </c>
      <c r="G97" s="3">
        <v>98</v>
      </c>
      <c r="H97" s="3">
        <f>HistoricalData[[#This Row],[staff_plan]]-HistoricalData[[#This Row],[staff_fact]]</f>
        <v>2</v>
      </c>
      <c r="I97" s="5">
        <v>2.63E-2</v>
      </c>
      <c r="J97" s="5"/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45</v>
      </c>
      <c r="S97" s="3">
        <v>15</v>
      </c>
      <c r="T97" s="5">
        <v>9.0899999999999995E-2</v>
      </c>
      <c r="U97" s="5">
        <v>0.38369999999999999</v>
      </c>
      <c r="V97" s="3">
        <v>3</v>
      </c>
      <c r="W97" s="3">
        <v>33</v>
      </c>
      <c r="X97" s="3">
        <v>86</v>
      </c>
    </row>
    <row r="98" spans="1:24">
      <c r="A98" s="3" t="s">
        <v>48</v>
      </c>
      <c r="B98" s="3">
        <v>2025</v>
      </c>
      <c r="C98" s="3">
        <v>1</v>
      </c>
      <c r="D98" s="3" t="s">
        <v>61</v>
      </c>
      <c r="E98" s="4" t="b">
        <v>0</v>
      </c>
      <c r="F98" s="3">
        <v>101</v>
      </c>
      <c r="G98" s="3">
        <v>99</v>
      </c>
      <c r="H98" s="3">
        <f>HistoricalData[[#This Row],[staff_plan]]-HistoricalData[[#This Row],[staff_fact]]</f>
        <v>2</v>
      </c>
      <c r="I98" s="5">
        <v>2.5899999999999999E-2</v>
      </c>
      <c r="J98" s="5"/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45</v>
      </c>
      <c r="S98" s="3">
        <v>15</v>
      </c>
      <c r="T98" s="5">
        <v>7.5600000000000001E-2</v>
      </c>
      <c r="U98" s="5">
        <v>0.36780000000000002</v>
      </c>
      <c r="V98" s="3">
        <v>4</v>
      </c>
      <c r="W98" s="3">
        <v>53</v>
      </c>
      <c r="X98" s="3">
        <v>144</v>
      </c>
    </row>
    <row r="99" spans="1:24">
      <c r="A99" s="3" t="s">
        <v>49</v>
      </c>
      <c r="B99" s="3">
        <v>2025</v>
      </c>
      <c r="C99" s="3">
        <v>2</v>
      </c>
      <c r="D99" s="3" t="s">
        <v>61</v>
      </c>
      <c r="E99" s="4" t="b">
        <v>0</v>
      </c>
      <c r="F99" s="3">
        <v>101</v>
      </c>
      <c r="G99" s="3">
        <v>100</v>
      </c>
      <c r="H99" s="3">
        <f>HistoricalData[[#This Row],[staff_plan]]-HistoricalData[[#This Row],[staff_fact]]</f>
        <v>1</v>
      </c>
      <c r="I99" s="5">
        <v>2.5399999999999999E-2</v>
      </c>
      <c r="J99" s="5"/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45</v>
      </c>
      <c r="S99" s="3">
        <v>15</v>
      </c>
      <c r="T99" s="5">
        <v>7.9000000000000001E-2</v>
      </c>
      <c r="U99" s="5">
        <v>0.38419999999999999</v>
      </c>
      <c r="V99" s="3">
        <v>4</v>
      </c>
      <c r="W99" s="3">
        <v>51</v>
      </c>
      <c r="X99" s="3">
        <v>133</v>
      </c>
    </row>
    <row r="100" spans="1:24">
      <c r="A100" s="3" t="s">
        <v>50</v>
      </c>
      <c r="B100" s="3">
        <v>2025</v>
      </c>
      <c r="C100" s="3">
        <v>3</v>
      </c>
      <c r="D100" s="3" t="s">
        <v>61</v>
      </c>
      <c r="E100" s="4" t="b">
        <v>0</v>
      </c>
      <c r="F100" s="3">
        <v>101</v>
      </c>
      <c r="G100" s="3">
        <v>101</v>
      </c>
      <c r="H100" s="3">
        <f>HistoricalData[[#This Row],[staff_plan]]-HistoricalData[[#This Row],[staff_fact]]</f>
        <v>0</v>
      </c>
      <c r="I100" s="5">
        <v>2.6200000000000001E-2</v>
      </c>
      <c r="J100" s="5"/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45</v>
      </c>
      <c r="S100" s="3">
        <v>15</v>
      </c>
      <c r="T100" s="5">
        <v>9.2999999999999999E-2</v>
      </c>
      <c r="U100" s="5">
        <v>0.37140000000000001</v>
      </c>
      <c r="V100" s="3">
        <v>4</v>
      </c>
      <c r="W100" s="3">
        <v>43</v>
      </c>
      <c r="X100" s="3">
        <v>116</v>
      </c>
    </row>
    <row r="101" spans="1:24">
      <c r="A101" s="3" t="s">
        <v>51</v>
      </c>
      <c r="B101" s="3">
        <v>2025</v>
      </c>
      <c r="C101" s="3">
        <v>4</v>
      </c>
      <c r="D101" s="3" t="s">
        <v>61</v>
      </c>
      <c r="E101" s="4" t="b">
        <v>0</v>
      </c>
      <c r="F101" s="3">
        <v>101</v>
      </c>
      <c r="G101" s="3">
        <v>100</v>
      </c>
      <c r="H101" s="3">
        <f>HistoricalData[[#This Row],[staff_plan]]-HistoricalData[[#This Row],[staff_fact]]</f>
        <v>1</v>
      </c>
      <c r="I101" s="5">
        <v>2.87E-2</v>
      </c>
      <c r="J101" s="5"/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45</v>
      </c>
      <c r="S101" s="3">
        <v>15</v>
      </c>
      <c r="T101" s="5">
        <v>8.1100000000000005E-2</v>
      </c>
      <c r="U101" s="5">
        <v>0.41049999999999998</v>
      </c>
      <c r="V101" s="3">
        <v>2</v>
      </c>
      <c r="W101" s="3">
        <v>25</v>
      </c>
      <c r="X101" s="3">
        <v>61</v>
      </c>
    </row>
    <row r="102" spans="1:24">
      <c r="A102" s="3" t="s">
        <v>52</v>
      </c>
      <c r="B102" s="3">
        <v>2025</v>
      </c>
      <c r="C102" s="3">
        <v>5</v>
      </c>
      <c r="D102" s="3" t="s">
        <v>61</v>
      </c>
      <c r="E102" s="4" t="b">
        <v>0</v>
      </c>
      <c r="F102" s="3">
        <v>101</v>
      </c>
      <c r="G102" s="3">
        <v>100</v>
      </c>
      <c r="H102" s="3">
        <f>HistoricalData[[#This Row],[staff_plan]]-HistoricalData[[#This Row],[staff_fact]]</f>
        <v>1</v>
      </c>
      <c r="I102" s="5">
        <v>4.0500000000000001E-2</v>
      </c>
      <c r="J102" s="5"/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45</v>
      </c>
      <c r="S102" s="3">
        <v>15</v>
      </c>
      <c r="T102" s="5">
        <v>7.8E-2</v>
      </c>
      <c r="U102" s="5">
        <v>0.33779999999999999</v>
      </c>
      <c r="V102" s="3">
        <v>4</v>
      </c>
      <c r="W102" s="3">
        <v>51</v>
      </c>
      <c r="X102" s="3">
        <v>151</v>
      </c>
    </row>
    <row r="103" spans="1:24">
      <c r="A103" s="3" t="s">
        <v>53</v>
      </c>
      <c r="B103" s="3">
        <v>2025</v>
      </c>
      <c r="C103" s="3">
        <v>6</v>
      </c>
      <c r="D103" s="3" t="s">
        <v>61</v>
      </c>
      <c r="E103" s="4" t="b">
        <v>0</v>
      </c>
      <c r="F103" s="3">
        <v>102</v>
      </c>
      <c r="G103" s="3">
        <v>100</v>
      </c>
      <c r="H103" s="3">
        <f>HistoricalData[[#This Row],[staff_plan]]-HistoricalData[[#This Row],[staff_fact]]</f>
        <v>2</v>
      </c>
      <c r="I103" s="5">
        <v>4.4999999999999998E-2</v>
      </c>
      <c r="J103" s="5"/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45</v>
      </c>
      <c r="S103" s="3">
        <v>15</v>
      </c>
      <c r="T103" s="5">
        <v>6.8000000000000005E-2</v>
      </c>
      <c r="U103" s="5">
        <v>0.35420000000000001</v>
      </c>
      <c r="V103" s="3">
        <v>4</v>
      </c>
      <c r="W103" s="3">
        <v>59</v>
      </c>
      <c r="X103" s="3">
        <v>167</v>
      </c>
    </row>
    <row r="104" spans="1:24">
      <c r="A104" s="3" t="s">
        <v>54</v>
      </c>
      <c r="B104" s="3">
        <v>2025</v>
      </c>
      <c r="C104" s="3">
        <v>7</v>
      </c>
      <c r="D104" s="3" t="s">
        <v>61</v>
      </c>
      <c r="E104" s="4" t="b">
        <v>0</v>
      </c>
      <c r="F104" s="3">
        <v>102</v>
      </c>
      <c r="G104" s="3">
        <v>100</v>
      </c>
      <c r="H104" s="3">
        <f>HistoricalData[[#This Row],[staff_plan]]-HistoricalData[[#This Row],[staff_fact]]</f>
        <v>2</v>
      </c>
      <c r="I104" s="5">
        <v>4.2200000000000001E-2</v>
      </c>
      <c r="J104" s="5"/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45</v>
      </c>
      <c r="S104" s="3">
        <v>15</v>
      </c>
      <c r="T104" s="5">
        <v>9.2399999999999996E-2</v>
      </c>
      <c r="U104" s="5">
        <v>0.36180000000000001</v>
      </c>
      <c r="V104" s="3">
        <v>4</v>
      </c>
      <c r="W104" s="3">
        <v>43</v>
      </c>
      <c r="X104" s="3">
        <v>119</v>
      </c>
    </row>
    <row r="105" spans="1:24">
      <c r="A105" s="3" t="s">
        <v>55</v>
      </c>
      <c r="B105" s="3">
        <v>2025</v>
      </c>
      <c r="C105" s="3">
        <v>8</v>
      </c>
      <c r="D105" s="3" t="s">
        <v>61</v>
      </c>
      <c r="E105" s="4" t="b">
        <v>0</v>
      </c>
      <c r="F105" s="3">
        <v>102</v>
      </c>
      <c r="G105" s="3">
        <v>101</v>
      </c>
      <c r="H105" s="3">
        <f>HistoricalData[[#This Row],[staff_plan]]-HistoricalData[[#This Row],[staff_fact]]</f>
        <v>1</v>
      </c>
      <c r="I105" s="5">
        <v>3.6700000000000003E-2</v>
      </c>
      <c r="J105" s="5"/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45</v>
      </c>
      <c r="S105" s="3">
        <v>15</v>
      </c>
      <c r="T105" s="5">
        <v>7.85E-2</v>
      </c>
      <c r="U105" s="5">
        <v>0.37709999999999999</v>
      </c>
      <c r="V105" s="3">
        <v>5</v>
      </c>
      <c r="W105" s="3">
        <v>64</v>
      </c>
      <c r="X105" s="3">
        <v>170</v>
      </c>
    </row>
    <row r="106" spans="1:24">
      <c r="A106" s="3" t="s">
        <v>56</v>
      </c>
      <c r="B106" s="3">
        <v>2025</v>
      </c>
      <c r="C106" s="3">
        <v>9</v>
      </c>
      <c r="D106" s="3" t="s">
        <v>61</v>
      </c>
      <c r="E106" s="4" t="b">
        <v>0</v>
      </c>
      <c r="F106" s="3">
        <v>102</v>
      </c>
      <c r="G106" s="3">
        <v>100</v>
      </c>
      <c r="H106" s="3">
        <f>HistoricalData[[#This Row],[staff_plan]]-HistoricalData[[#This Row],[staff_fact]]</f>
        <v>2</v>
      </c>
      <c r="I106" s="5">
        <v>3.39E-2</v>
      </c>
      <c r="J106" s="5"/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45</v>
      </c>
      <c r="S106" s="3">
        <v>15</v>
      </c>
      <c r="T106" s="5">
        <v>8.0100000000000005E-2</v>
      </c>
      <c r="U106" s="5">
        <v>0.37759999999999999</v>
      </c>
      <c r="V106" s="3">
        <v>2</v>
      </c>
      <c r="W106" s="3">
        <v>25</v>
      </c>
      <c r="X106" s="3">
        <v>66</v>
      </c>
    </row>
    <row r="107" spans="1:24">
      <c r="A107" s="3" t="s">
        <v>57</v>
      </c>
      <c r="B107" s="3">
        <v>2025</v>
      </c>
      <c r="C107" s="3">
        <v>10</v>
      </c>
      <c r="D107" s="3" t="s">
        <v>61</v>
      </c>
      <c r="E107" s="4" t="b">
        <v>0</v>
      </c>
      <c r="F107" s="3">
        <v>102</v>
      </c>
      <c r="G107" s="3">
        <v>100</v>
      </c>
      <c r="H107" s="3">
        <f>HistoricalData[[#This Row],[staff_plan]]-HistoricalData[[#This Row],[staff_fact]]</f>
        <v>2</v>
      </c>
      <c r="I107" s="5">
        <v>3.27E-2</v>
      </c>
      <c r="J107" s="5"/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45</v>
      </c>
      <c r="S107" s="3">
        <v>15</v>
      </c>
      <c r="T107" s="5">
        <v>7.6499999999999999E-2</v>
      </c>
      <c r="U107" s="5">
        <v>0.38159999999999999</v>
      </c>
      <c r="V107" s="3">
        <v>3</v>
      </c>
      <c r="W107" s="3">
        <v>39</v>
      </c>
      <c r="X107" s="3">
        <v>102</v>
      </c>
    </row>
    <row r="108" spans="1:24">
      <c r="A108" s="3" t="s">
        <v>58</v>
      </c>
      <c r="B108" s="3">
        <v>2025</v>
      </c>
      <c r="C108" s="3">
        <v>11</v>
      </c>
      <c r="D108" s="3" t="s">
        <v>61</v>
      </c>
      <c r="E108" s="4" t="b">
        <v>0</v>
      </c>
      <c r="F108" s="3">
        <v>102</v>
      </c>
      <c r="G108" s="3">
        <v>101</v>
      </c>
      <c r="H108" s="3">
        <f>HistoricalData[[#This Row],[staff_plan]]-HistoricalData[[#This Row],[staff_fact]]</f>
        <v>1</v>
      </c>
      <c r="I108" s="5">
        <v>2.5100000000000001E-2</v>
      </c>
      <c r="J108" s="5"/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45</v>
      </c>
      <c r="S108" s="3">
        <v>15</v>
      </c>
      <c r="T108" s="5">
        <v>9.7799999999999998E-2</v>
      </c>
      <c r="U108" s="5">
        <v>0.38890000000000002</v>
      </c>
      <c r="V108" s="3">
        <v>4</v>
      </c>
      <c r="W108" s="3">
        <v>41</v>
      </c>
      <c r="X108" s="3">
        <v>105</v>
      </c>
    </row>
    <row r="109" spans="1:24">
      <c r="A109" s="3" t="s">
        <v>59</v>
      </c>
      <c r="B109" s="3">
        <v>2025</v>
      </c>
      <c r="C109" s="3">
        <v>12</v>
      </c>
      <c r="D109" s="3" t="s">
        <v>61</v>
      </c>
      <c r="E109" s="4" t="b">
        <v>0</v>
      </c>
      <c r="F109" s="3">
        <v>102</v>
      </c>
      <c r="G109" s="3">
        <v>101</v>
      </c>
      <c r="H109" s="3">
        <f>HistoricalData[[#This Row],[staff_plan]]-HistoricalData[[#This Row],[staff_fact]]</f>
        <v>1</v>
      </c>
      <c r="I109" s="5">
        <v>2.6499999999999999E-2</v>
      </c>
      <c r="J109" s="5"/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45</v>
      </c>
      <c r="S109" s="3">
        <v>15</v>
      </c>
      <c r="T109" s="5">
        <v>7.85E-2</v>
      </c>
      <c r="U109" s="5">
        <v>0.35199999999999998</v>
      </c>
      <c r="V109" s="3">
        <v>3</v>
      </c>
      <c r="W109" s="3">
        <v>38</v>
      </c>
      <c r="X109" s="3">
        <v>108</v>
      </c>
    </row>
    <row r="110" spans="1:24">
      <c r="A110" s="3" t="s">
        <v>23</v>
      </c>
      <c r="B110" s="3">
        <v>2023</v>
      </c>
      <c r="C110" s="3">
        <v>1</v>
      </c>
      <c r="D110" s="3" t="s">
        <v>62</v>
      </c>
      <c r="E110" s="4" t="b">
        <v>0</v>
      </c>
      <c r="F110" s="3">
        <v>140</v>
      </c>
      <c r="G110" s="3">
        <v>132</v>
      </c>
      <c r="H110" s="3">
        <f>HistoricalData[[#This Row],[staff_plan]]-HistoricalData[[#This Row],[staff_fact]]</f>
        <v>8</v>
      </c>
      <c r="I110" s="5">
        <v>1.9400000000000001E-2</v>
      </c>
      <c r="J110" s="5"/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50</v>
      </c>
      <c r="S110" s="3">
        <v>16</v>
      </c>
      <c r="T110" s="5">
        <v>8.6199999999999999E-2</v>
      </c>
      <c r="U110" s="5">
        <v>0.38159999999999999</v>
      </c>
      <c r="V110" s="3">
        <v>7</v>
      </c>
      <c r="W110" s="3">
        <v>81</v>
      </c>
      <c r="X110" s="3">
        <v>212</v>
      </c>
    </row>
    <row r="111" spans="1:24">
      <c r="A111" s="3" t="s">
        <v>25</v>
      </c>
      <c r="B111" s="3">
        <v>2023</v>
      </c>
      <c r="C111" s="3">
        <v>2</v>
      </c>
      <c r="D111" s="3" t="s">
        <v>62</v>
      </c>
      <c r="E111" s="4" t="b">
        <v>0</v>
      </c>
      <c r="F111" s="3">
        <v>140</v>
      </c>
      <c r="G111" s="3">
        <v>136</v>
      </c>
      <c r="H111" s="3">
        <f>HistoricalData[[#This Row],[staff_plan]]-HistoricalData[[#This Row],[staff_fact]]</f>
        <v>4</v>
      </c>
      <c r="I111" s="5">
        <v>1.8700000000000001E-2</v>
      </c>
      <c r="J111" s="5"/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50</v>
      </c>
      <c r="S111" s="3">
        <v>16</v>
      </c>
      <c r="T111" s="5">
        <v>0.1009</v>
      </c>
      <c r="U111" s="5">
        <v>0.39190000000000003</v>
      </c>
      <c r="V111" s="3">
        <v>6</v>
      </c>
      <c r="W111" s="3">
        <v>59</v>
      </c>
      <c r="X111" s="3">
        <v>151</v>
      </c>
    </row>
    <row r="112" spans="1:24">
      <c r="A112" s="3" t="s">
        <v>26</v>
      </c>
      <c r="B112" s="3">
        <v>2023</v>
      </c>
      <c r="C112" s="3">
        <v>3</v>
      </c>
      <c r="D112" s="3" t="s">
        <v>62</v>
      </c>
      <c r="E112" s="4" t="b">
        <v>0</v>
      </c>
      <c r="F112" s="3">
        <v>140</v>
      </c>
      <c r="G112" s="3">
        <v>138</v>
      </c>
      <c r="H112" s="3">
        <f>HistoricalData[[#This Row],[staff_plan]]-HistoricalData[[#This Row],[staff_fact]]</f>
        <v>2</v>
      </c>
      <c r="I112" s="5">
        <v>1.8499999999999999E-2</v>
      </c>
      <c r="J112" s="5"/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50</v>
      </c>
      <c r="S112" s="3">
        <v>16</v>
      </c>
      <c r="T112" s="5">
        <v>9.9099999999999994E-2</v>
      </c>
      <c r="U112" s="5">
        <v>0.38890000000000002</v>
      </c>
      <c r="V112" s="3">
        <v>5</v>
      </c>
      <c r="W112" s="3">
        <v>50</v>
      </c>
      <c r="X112" s="3">
        <v>129</v>
      </c>
    </row>
    <row r="113" spans="1:24">
      <c r="A113" s="3" t="s">
        <v>27</v>
      </c>
      <c r="B113" s="3">
        <v>2023</v>
      </c>
      <c r="C113" s="3">
        <v>4</v>
      </c>
      <c r="D113" s="3" t="s">
        <v>62</v>
      </c>
      <c r="E113" s="4" t="b">
        <v>0</v>
      </c>
      <c r="F113" s="3">
        <v>140</v>
      </c>
      <c r="G113" s="3">
        <v>139</v>
      </c>
      <c r="H113" s="3">
        <f>HistoricalData[[#This Row],[staff_plan]]-HistoricalData[[#This Row],[staff_fact]]</f>
        <v>1</v>
      </c>
      <c r="I113" s="5">
        <v>2.4E-2</v>
      </c>
      <c r="J113" s="5"/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50</v>
      </c>
      <c r="S113" s="3">
        <v>16</v>
      </c>
      <c r="T113" s="5">
        <v>9.0800000000000006E-2</v>
      </c>
      <c r="U113" s="5">
        <v>0.42580000000000001</v>
      </c>
      <c r="V113" s="3">
        <v>4</v>
      </c>
      <c r="W113" s="3">
        <v>44</v>
      </c>
      <c r="X113" s="3">
        <v>103</v>
      </c>
    </row>
    <row r="114" spans="1:24">
      <c r="A114" s="3" t="s">
        <v>28</v>
      </c>
      <c r="B114" s="3">
        <v>2023</v>
      </c>
      <c r="C114" s="3">
        <v>5</v>
      </c>
      <c r="D114" s="3" t="s">
        <v>62</v>
      </c>
      <c r="E114" s="4" t="b">
        <v>0</v>
      </c>
      <c r="F114" s="3">
        <v>141</v>
      </c>
      <c r="G114" s="3">
        <v>139</v>
      </c>
      <c r="H114" s="3">
        <f>HistoricalData[[#This Row],[staff_plan]]-HistoricalData[[#This Row],[staff_fact]]</f>
        <v>2</v>
      </c>
      <c r="I114" s="5">
        <v>2.8299999999999999E-2</v>
      </c>
      <c r="J114" s="5"/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50</v>
      </c>
      <c r="S114" s="3">
        <v>16</v>
      </c>
      <c r="T114" s="5">
        <v>9.74E-2</v>
      </c>
      <c r="U114" s="5">
        <v>0.35759999999999997</v>
      </c>
      <c r="V114" s="3">
        <v>4</v>
      </c>
      <c r="W114" s="3">
        <v>41</v>
      </c>
      <c r="X114" s="3">
        <v>115</v>
      </c>
    </row>
    <row r="115" spans="1:24">
      <c r="A115" s="3" t="s">
        <v>29</v>
      </c>
      <c r="B115" s="3">
        <v>2023</v>
      </c>
      <c r="C115" s="3">
        <v>6</v>
      </c>
      <c r="D115" s="3" t="s">
        <v>62</v>
      </c>
      <c r="E115" s="4" t="b">
        <v>0</v>
      </c>
      <c r="F115" s="3">
        <v>141</v>
      </c>
      <c r="G115" s="3">
        <v>139</v>
      </c>
      <c r="H115" s="3">
        <f>HistoricalData[[#This Row],[staff_plan]]-HistoricalData[[#This Row],[staff_fact]]</f>
        <v>2</v>
      </c>
      <c r="I115" s="5">
        <v>2.9100000000000001E-2</v>
      </c>
      <c r="J115" s="5"/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50</v>
      </c>
      <c r="S115" s="3">
        <v>16</v>
      </c>
      <c r="T115" s="5">
        <v>8.5500000000000007E-2</v>
      </c>
      <c r="U115" s="5">
        <v>0.39829999999999999</v>
      </c>
      <c r="V115" s="3">
        <v>4</v>
      </c>
      <c r="W115" s="3">
        <v>47</v>
      </c>
      <c r="X115" s="3">
        <v>118</v>
      </c>
    </row>
    <row r="116" spans="1:24">
      <c r="A116" s="3" t="s">
        <v>30</v>
      </c>
      <c r="B116" s="3">
        <v>2023</v>
      </c>
      <c r="C116" s="3">
        <v>7</v>
      </c>
      <c r="D116" s="3" t="s">
        <v>62</v>
      </c>
      <c r="E116" s="4" t="b">
        <v>0</v>
      </c>
      <c r="F116" s="3">
        <v>141</v>
      </c>
      <c r="G116" s="3">
        <v>139</v>
      </c>
      <c r="H116" s="3">
        <f>HistoricalData[[#This Row],[staff_plan]]-HistoricalData[[#This Row],[staff_fact]]</f>
        <v>2</v>
      </c>
      <c r="I116" s="5">
        <v>3.3099999999999997E-2</v>
      </c>
      <c r="J116" s="5"/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50</v>
      </c>
      <c r="S116" s="3">
        <v>16</v>
      </c>
      <c r="T116" s="5">
        <v>9.8199999999999996E-2</v>
      </c>
      <c r="U116" s="5">
        <v>0.4017</v>
      </c>
      <c r="V116" s="3">
        <v>5</v>
      </c>
      <c r="W116" s="3">
        <v>51</v>
      </c>
      <c r="X116" s="3">
        <v>127</v>
      </c>
    </row>
    <row r="117" spans="1:24">
      <c r="A117" s="3" t="s">
        <v>31</v>
      </c>
      <c r="B117" s="3">
        <v>2023</v>
      </c>
      <c r="C117" s="3">
        <v>8</v>
      </c>
      <c r="D117" s="3" t="s">
        <v>62</v>
      </c>
      <c r="E117" s="4" t="b">
        <v>0</v>
      </c>
      <c r="F117" s="3">
        <v>141</v>
      </c>
      <c r="G117" s="3">
        <v>140</v>
      </c>
      <c r="H117" s="3">
        <f>HistoricalData[[#This Row],[staff_plan]]-HistoricalData[[#This Row],[staff_fact]]</f>
        <v>1</v>
      </c>
      <c r="I117" s="5">
        <v>3.49E-2</v>
      </c>
      <c r="J117" s="5"/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50</v>
      </c>
      <c r="S117" s="3">
        <v>16</v>
      </c>
      <c r="T117" s="5">
        <v>8.9300000000000004E-2</v>
      </c>
      <c r="U117" s="5">
        <v>0.40150000000000002</v>
      </c>
      <c r="V117" s="3">
        <v>6</v>
      </c>
      <c r="W117" s="3">
        <v>67</v>
      </c>
      <c r="X117" s="3">
        <v>167</v>
      </c>
    </row>
    <row r="118" spans="1:24">
      <c r="A118" s="3" t="s">
        <v>32</v>
      </c>
      <c r="B118" s="3">
        <v>2023</v>
      </c>
      <c r="C118" s="3">
        <v>9</v>
      </c>
      <c r="D118" s="3" t="s">
        <v>62</v>
      </c>
      <c r="E118" s="4" t="b">
        <v>0</v>
      </c>
      <c r="F118" s="3">
        <v>141</v>
      </c>
      <c r="G118" s="3">
        <v>139</v>
      </c>
      <c r="H118" s="3">
        <f>HistoricalData[[#This Row],[staff_plan]]-HistoricalData[[#This Row],[staff_fact]]</f>
        <v>2</v>
      </c>
      <c r="I118" s="5">
        <v>2.8799999999999999E-2</v>
      </c>
      <c r="J118" s="5"/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50</v>
      </c>
      <c r="S118" s="3">
        <v>16</v>
      </c>
      <c r="T118" s="5">
        <v>0.1003</v>
      </c>
      <c r="U118" s="5">
        <v>0.38769999999999999</v>
      </c>
      <c r="V118" s="3">
        <v>3</v>
      </c>
      <c r="W118" s="3">
        <v>30</v>
      </c>
      <c r="X118" s="3">
        <v>77</v>
      </c>
    </row>
    <row r="119" spans="1:24">
      <c r="A119" s="3" t="s">
        <v>33</v>
      </c>
      <c r="B119" s="3">
        <v>2023</v>
      </c>
      <c r="C119" s="3">
        <v>10</v>
      </c>
      <c r="D119" s="3" t="s">
        <v>62</v>
      </c>
      <c r="E119" s="4" t="b">
        <v>0</v>
      </c>
      <c r="F119" s="3">
        <v>141</v>
      </c>
      <c r="G119" s="3">
        <v>140</v>
      </c>
      <c r="H119" s="3">
        <f>HistoricalData[[#This Row],[staff_plan]]-HistoricalData[[#This Row],[staff_fact]]</f>
        <v>1</v>
      </c>
      <c r="I119" s="5">
        <v>2.3900000000000001E-2</v>
      </c>
      <c r="J119" s="5"/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50</v>
      </c>
      <c r="S119" s="3">
        <v>16</v>
      </c>
      <c r="T119" s="5">
        <v>0.08</v>
      </c>
      <c r="U119" s="5">
        <v>0.47010000000000002</v>
      </c>
      <c r="V119" s="3">
        <v>4</v>
      </c>
      <c r="W119" s="3">
        <v>50</v>
      </c>
      <c r="X119" s="3">
        <v>106</v>
      </c>
    </row>
    <row r="120" spans="1:24">
      <c r="A120" s="3" t="s">
        <v>34</v>
      </c>
      <c r="B120" s="3">
        <v>2023</v>
      </c>
      <c r="C120" s="3">
        <v>11</v>
      </c>
      <c r="D120" s="3" t="s">
        <v>62</v>
      </c>
      <c r="E120" s="4" t="b">
        <v>0</v>
      </c>
      <c r="F120" s="3">
        <v>142</v>
      </c>
      <c r="G120" s="3">
        <v>141</v>
      </c>
      <c r="H120" s="3">
        <f>HistoricalData[[#This Row],[staff_plan]]-HistoricalData[[#This Row],[staff_fact]]</f>
        <v>1</v>
      </c>
      <c r="I120" s="5">
        <v>2.0299999999999999E-2</v>
      </c>
      <c r="J120" s="5"/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50</v>
      </c>
      <c r="S120" s="3">
        <v>16</v>
      </c>
      <c r="T120" s="5">
        <v>9.2700000000000005E-2</v>
      </c>
      <c r="U120" s="5">
        <v>0.39369999999999999</v>
      </c>
      <c r="V120" s="3">
        <v>4</v>
      </c>
      <c r="W120" s="3">
        <v>43</v>
      </c>
      <c r="X120" s="3">
        <v>109</v>
      </c>
    </row>
    <row r="121" spans="1:24">
      <c r="A121" s="3" t="s">
        <v>35</v>
      </c>
      <c r="B121" s="3">
        <v>2023</v>
      </c>
      <c r="C121" s="3">
        <v>12</v>
      </c>
      <c r="D121" s="3" t="s">
        <v>62</v>
      </c>
      <c r="E121" s="4" t="b">
        <v>0</v>
      </c>
      <c r="F121" s="3">
        <v>142</v>
      </c>
      <c r="G121" s="3">
        <v>141</v>
      </c>
      <c r="H121" s="3">
        <f>HistoricalData[[#This Row],[staff_plan]]-HistoricalData[[#This Row],[staff_fact]]</f>
        <v>1</v>
      </c>
      <c r="I121" s="5">
        <v>2.1600000000000001E-2</v>
      </c>
      <c r="J121" s="5"/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50</v>
      </c>
      <c r="S121" s="3">
        <v>16</v>
      </c>
      <c r="T121" s="5">
        <v>8.9700000000000002E-2</v>
      </c>
      <c r="U121" s="5">
        <v>0.43780000000000002</v>
      </c>
      <c r="V121" s="3">
        <v>3</v>
      </c>
      <c r="W121" s="3">
        <v>33</v>
      </c>
      <c r="X121" s="3">
        <v>75</v>
      </c>
    </row>
    <row r="122" spans="1:24">
      <c r="A122" s="3" t="s">
        <v>36</v>
      </c>
      <c r="B122" s="3">
        <v>2024</v>
      </c>
      <c r="C122" s="3">
        <v>1</v>
      </c>
      <c r="D122" s="3" t="s">
        <v>62</v>
      </c>
      <c r="E122" s="4" t="b">
        <v>0</v>
      </c>
      <c r="F122" s="3">
        <v>143</v>
      </c>
      <c r="G122" s="3">
        <v>141</v>
      </c>
      <c r="H122" s="3">
        <f>HistoricalData[[#This Row],[staff_plan]]-HistoricalData[[#This Row],[staff_fact]]</f>
        <v>2</v>
      </c>
      <c r="I122" s="5">
        <v>2.41E-2</v>
      </c>
      <c r="J122" s="5"/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50</v>
      </c>
      <c r="S122" s="3">
        <v>16</v>
      </c>
      <c r="T122" s="5">
        <v>9.1300000000000006E-2</v>
      </c>
      <c r="U122" s="5">
        <v>0.39860000000000001</v>
      </c>
      <c r="V122" s="3">
        <v>3</v>
      </c>
      <c r="W122" s="3">
        <v>33</v>
      </c>
      <c r="X122" s="3">
        <v>83</v>
      </c>
    </row>
    <row r="123" spans="1:24">
      <c r="A123" s="3" t="s">
        <v>37</v>
      </c>
      <c r="B123" s="3">
        <v>2024</v>
      </c>
      <c r="C123" s="3">
        <v>2</v>
      </c>
      <c r="D123" s="3" t="s">
        <v>62</v>
      </c>
      <c r="E123" s="4" t="b">
        <v>0</v>
      </c>
      <c r="F123" s="3">
        <v>143</v>
      </c>
      <c r="G123" s="3">
        <v>142</v>
      </c>
      <c r="H123" s="3">
        <f>HistoricalData[[#This Row],[staff_plan]]-HistoricalData[[#This Row],[staff_fact]]</f>
        <v>1</v>
      </c>
      <c r="I123" s="5">
        <v>1.9400000000000001E-2</v>
      </c>
      <c r="J123" s="5"/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50</v>
      </c>
      <c r="S123" s="3">
        <v>16</v>
      </c>
      <c r="T123" s="5">
        <v>9.5699999999999993E-2</v>
      </c>
      <c r="U123" s="5">
        <v>0.3664</v>
      </c>
      <c r="V123" s="3">
        <v>4</v>
      </c>
      <c r="W123" s="3">
        <v>42</v>
      </c>
      <c r="X123" s="3">
        <v>115</v>
      </c>
    </row>
    <row r="124" spans="1:24">
      <c r="A124" s="3" t="s">
        <v>38</v>
      </c>
      <c r="B124" s="3">
        <v>2024</v>
      </c>
      <c r="C124" s="3">
        <v>3</v>
      </c>
      <c r="D124" s="3" t="s">
        <v>62</v>
      </c>
      <c r="E124" s="4" t="b">
        <v>0</v>
      </c>
      <c r="F124" s="3">
        <v>143</v>
      </c>
      <c r="G124" s="3">
        <v>141</v>
      </c>
      <c r="H124" s="3">
        <f>HistoricalData[[#This Row],[staff_plan]]-HistoricalData[[#This Row],[staff_fact]]</f>
        <v>2</v>
      </c>
      <c r="I124" s="5">
        <v>2.87E-2</v>
      </c>
      <c r="J124" s="5"/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50</v>
      </c>
      <c r="S124" s="3">
        <v>16</v>
      </c>
      <c r="T124" s="5">
        <v>9.3200000000000005E-2</v>
      </c>
      <c r="U124" s="5">
        <v>0.38640000000000002</v>
      </c>
      <c r="V124" s="3">
        <v>3</v>
      </c>
      <c r="W124" s="3">
        <v>32</v>
      </c>
      <c r="X124" s="3">
        <v>83</v>
      </c>
    </row>
    <row r="125" spans="1:24">
      <c r="A125" s="3" t="s">
        <v>39</v>
      </c>
      <c r="B125" s="3">
        <v>2024</v>
      </c>
      <c r="C125" s="3">
        <v>4</v>
      </c>
      <c r="D125" s="3" t="s">
        <v>62</v>
      </c>
      <c r="E125" s="4" t="b">
        <v>0</v>
      </c>
      <c r="F125" s="3">
        <v>143</v>
      </c>
      <c r="G125" s="3">
        <v>142</v>
      </c>
      <c r="H125" s="3">
        <f>HistoricalData[[#This Row],[staff_plan]]-HistoricalData[[#This Row],[staff_fact]]</f>
        <v>1</v>
      </c>
      <c r="I125" s="5">
        <v>2.9100000000000001E-2</v>
      </c>
      <c r="J125" s="5"/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50</v>
      </c>
      <c r="S125" s="3">
        <v>16</v>
      </c>
      <c r="T125" s="5">
        <v>9.6699999999999994E-2</v>
      </c>
      <c r="U125" s="5">
        <v>0.40539999999999998</v>
      </c>
      <c r="V125" s="3">
        <v>5</v>
      </c>
      <c r="W125" s="3">
        <v>52</v>
      </c>
      <c r="X125" s="3">
        <v>128</v>
      </c>
    </row>
    <row r="126" spans="1:24">
      <c r="A126" s="3" t="s">
        <v>40</v>
      </c>
      <c r="B126" s="3">
        <v>2024</v>
      </c>
      <c r="C126" s="3">
        <v>5</v>
      </c>
      <c r="D126" s="3" t="s">
        <v>62</v>
      </c>
      <c r="E126" s="4" t="b">
        <v>0</v>
      </c>
      <c r="F126" s="3">
        <v>143</v>
      </c>
      <c r="G126" s="3">
        <v>142</v>
      </c>
      <c r="H126" s="3">
        <f>HistoricalData[[#This Row],[staff_plan]]-HistoricalData[[#This Row],[staff_fact]]</f>
        <v>1</v>
      </c>
      <c r="I126" s="5">
        <v>3.3000000000000002E-2</v>
      </c>
      <c r="J126" s="5"/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50</v>
      </c>
      <c r="S126" s="3">
        <v>16</v>
      </c>
      <c r="T126" s="5">
        <v>9.4700000000000006E-2</v>
      </c>
      <c r="U126" s="5">
        <v>0.37290000000000001</v>
      </c>
      <c r="V126" s="3">
        <v>5</v>
      </c>
      <c r="W126" s="3">
        <v>53</v>
      </c>
      <c r="X126" s="3">
        <v>142</v>
      </c>
    </row>
    <row r="127" spans="1:24">
      <c r="A127" s="3" t="s">
        <v>41</v>
      </c>
      <c r="B127" s="3">
        <v>2024</v>
      </c>
      <c r="C127" s="3">
        <v>6</v>
      </c>
      <c r="D127" s="3" t="s">
        <v>62</v>
      </c>
      <c r="E127" s="4" t="b">
        <v>0</v>
      </c>
      <c r="F127" s="3">
        <v>144</v>
      </c>
      <c r="G127" s="3">
        <v>142</v>
      </c>
      <c r="H127" s="3">
        <f>HistoricalData[[#This Row],[staff_plan]]-HistoricalData[[#This Row],[staff_fact]]</f>
        <v>2</v>
      </c>
      <c r="I127" s="5">
        <v>3.04E-2</v>
      </c>
      <c r="J127" s="5"/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50</v>
      </c>
      <c r="S127" s="3">
        <v>16</v>
      </c>
      <c r="T127" s="5">
        <v>9.7199999999999995E-2</v>
      </c>
      <c r="U127" s="5">
        <v>0.40160000000000001</v>
      </c>
      <c r="V127" s="3">
        <v>4</v>
      </c>
      <c r="W127" s="3">
        <v>41</v>
      </c>
      <c r="X127" s="3">
        <v>102</v>
      </c>
    </row>
    <row r="128" spans="1:24">
      <c r="A128" s="3" t="s">
        <v>42</v>
      </c>
      <c r="B128" s="3">
        <v>2024</v>
      </c>
      <c r="C128" s="3">
        <v>7</v>
      </c>
      <c r="D128" s="3" t="s">
        <v>62</v>
      </c>
      <c r="E128" s="4" t="b">
        <v>0</v>
      </c>
      <c r="F128" s="3">
        <v>144</v>
      </c>
      <c r="G128" s="3">
        <v>143</v>
      </c>
      <c r="H128" s="3">
        <f>HistoricalData[[#This Row],[staff_plan]]-HistoricalData[[#This Row],[staff_fact]]</f>
        <v>1</v>
      </c>
      <c r="I128" s="5">
        <v>3.2199999999999999E-2</v>
      </c>
      <c r="J128" s="5"/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50</v>
      </c>
      <c r="S128" s="3">
        <v>16</v>
      </c>
      <c r="T128" s="5">
        <v>9.0999999999999998E-2</v>
      </c>
      <c r="U128" s="5">
        <v>0.3992</v>
      </c>
      <c r="V128" s="3">
        <v>6</v>
      </c>
      <c r="W128" s="3">
        <v>66</v>
      </c>
      <c r="X128" s="3">
        <v>165</v>
      </c>
    </row>
    <row r="129" spans="1:24">
      <c r="A129" s="3" t="s">
        <v>43</v>
      </c>
      <c r="B129" s="3">
        <v>2024</v>
      </c>
      <c r="C129" s="3">
        <v>8</v>
      </c>
      <c r="D129" s="3" t="s">
        <v>62</v>
      </c>
      <c r="E129" s="4" t="b">
        <v>0</v>
      </c>
      <c r="F129" s="3">
        <v>144</v>
      </c>
      <c r="G129" s="3">
        <v>141</v>
      </c>
      <c r="H129" s="3">
        <f>HistoricalData[[#This Row],[staff_plan]]-HistoricalData[[#This Row],[staff_fact]]</f>
        <v>3</v>
      </c>
      <c r="I129" s="5">
        <v>3.85E-2</v>
      </c>
      <c r="J129" s="5"/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50</v>
      </c>
      <c r="S129" s="3">
        <v>16</v>
      </c>
      <c r="T129" s="5">
        <v>9.9199999999999997E-2</v>
      </c>
      <c r="U129" s="5">
        <v>0.41160000000000002</v>
      </c>
      <c r="V129" s="3">
        <v>4</v>
      </c>
      <c r="W129" s="3">
        <v>40</v>
      </c>
      <c r="X129" s="3">
        <v>97</v>
      </c>
    </row>
    <row r="130" spans="1:24">
      <c r="A130" s="3" t="s">
        <v>44</v>
      </c>
      <c r="B130" s="3">
        <v>2024</v>
      </c>
      <c r="C130" s="3">
        <v>9</v>
      </c>
      <c r="D130" s="3" t="s">
        <v>62</v>
      </c>
      <c r="E130" s="4" t="b">
        <v>0</v>
      </c>
      <c r="F130" s="3">
        <v>144</v>
      </c>
      <c r="G130" s="3">
        <v>141</v>
      </c>
      <c r="H130" s="3">
        <f>HistoricalData[[#This Row],[staff_plan]]-HistoricalData[[#This Row],[staff_fact]]</f>
        <v>3</v>
      </c>
      <c r="I130" s="5">
        <v>2.76E-2</v>
      </c>
      <c r="J130" s="5"/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50</v>
      </c>
      <c r="S130" s="3">
        <v>16</v>
      </c>
      <c r="T130" s="5">
        <v>8.6800000000000002E-2</v>
      </c>
      <c r="U130" s="5">
        <v>0.4229</v>
      </c>
      <c r="V130" s="3">
        <v>4</v>
      </c>
      <c r="W130" s="3">
        <v>46</v>
      </c>
      <c r="X130" s="3">
        <v>109</v>
      </c>
    </row>
    <row r="131" spans="1:24">
      <c r="A131" s="3" t="s">
        <v>45</v>
      </c>
      <c r="B131" s="3">
        <v>2024</v>
      </c>
      <c r="C131" s="3">
        <v>10</v>
      </c>
      <c r="D131" s="3" t="s">
        <v>62</v>
      </c>
      <c r="E131" s="4" t="b">
        <v>0</v>
      </c>
      <c r="F131" s="3">
        <v>144</v>
      </c>
      <c r="G131" s="3">
        <v>141</v>
      </c>
      <c r="H131" s="3">
        <f>HistoricalData[[#This Row],[staff_plan]]-HistoricalData[[#This Row],[staff_fact]]</f>
        <v>3</v>
      </c>
      <c r="I131" s="5">
        <v>2.18E-2</v>
      </c>
      <c r="J131" s="5"/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50</v>
      </c>
      <c r="S131" s="3">
        <v>16</v>
      </c>
      <c r="T131" s="5">
        <v>9.5100000000000004E-2</v>
      </c>
      <c r="U131" s="5">
        <v>0.43190000000000001</v>
      </c>
      <c r="V131" s="3">
        <v>3</v>
      </c>
      <c r="W131" s="3">
        <v>32</v>
      </c>
      <c r="X131" s="3">
        <v>74</v>
      </c>
    </row>
    <row r="132" spans="1:24">
      <c r="A132" s="3" t="s">
        <v>46</v>
      </c>
      <c r="B132" s="3">
        <v>2024</v>
      </c>
      <c r="C132" s="3">
        <v>11</v>
      </c>
      <c r="D132" s="3" t="s">
        <v>62</v>
      </c>
      <c r="E132" s="4" t="b">
        <v>0</v>
      </c>
      <c r="F132" s="3">
        <v>144</v>
      </c>
      <c r="G132" s="3">
        <v>143</v>
      </c>
      <c r="H132" s="3">
        <f>HistoricalData[[#This Row],[staff_plan]]-HistoricalData[[#This Row],[staff_fact]]</f>
        <v>1</v>
      </c>
      <c r="I132" s="5">
        <v>2.1100000000000001E-2</v>
      </c>
      <c r="J132" s="5"/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50</v>
      </c>
      <c r="S132" s="3">
        <v>16</v>
      </c>
      <c r="T132" s="5">
        <v>0.1004</v>
      </c>
      <c r="U132" s="5">
        <v>0.40389999999999998</v>
      </c>
      <c r="V132" s="3">
        <v>5</v>
      </c>
      <c r="W132" s="3">
        <v>50</v>
      </c>
      <c r="X132" s="3">
        <v>124</v>
      </c>
    </row>
    <row r="133" spans="1:24">
      <c r="A133" s="3" t="s">
        <v>47</v>
      </c>
      <c r="B133" s="3">
        <v>2024</v>
      </c>
      <c r="C133" s="3">
        <v>12</v>
      </c>
      <c r="D133" s="3" t="s">
        <v>62</v>
      </c>
      <c r="E133" s="4" t="b">
        <v>0</v>
      </c>
      <c r="F133" s="3">
        <v>144</v>
      </c>
      <c r="G133" s="3">
        <v>143</v>
      </c>
      <c r="H133" s="3">
        <f>HistoricalData[[#This Row],[staff_plan]]-HistoricalData[[#This Row],[staff_fact]]</f>
        <v>1</v>
      </c>
      <c r="I133" s="5">
        <v>1.9E-2</v>
      </c>
      <c r="J133" s="5"/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50</v>
      </c>
      <c r="S133" s="3">
        <v>16</v>
      </c>
      <c r="T133" s="5">
        <v>9.1899999999999996E-2</v>
      </c>
      <c r="U133" s="5">
        <v>0.43190000000000001</v>
      </c>
      <c r="V133" s="3">
        <v>3</v>
      </c>
      <c r="W133" s="3">
        <v>33</v>
      </c>
      <c r="X133" s="3">
        <v>76</v>
      </c>
    </row>
    <row r="134" spans="1:24">
      <c r="A134" s="3" t="s">
        <v>48</v>
      </c>
      <c r="B134" s="3">
        <v>2025</v>
      </c>
      <c r="C134" s="3">
        <v>1</v>
      </c>
      <c r="D134" s="3" t="s">
        <v>62</v>
      </c>
      <c r="E134" s="4" t="b">
        <v>0</v>
      </c>
      <c r="F134" s="3">
        <v>146</v>
      </c>
      <c r="G134" s="3">
        <v>143</v>
      </c>
      <c r="H134" s="3">
        <f>HistoricalData[[#This Row],[staff_plan]]-HistoricalData[[#This Row],[staff_fact]]</f>
        <v>3</v>
      </c>
      <c r="I134" s="5">
        <v>1.9099999999999999E-2</v>
      </c>
      <c r="J134" s="5"/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50</v>
      </c>
      <c r="S134" s="3">
        <v>16</v>
      </c>
      <c r="T134" s="5">
        <v>9.9500000000000005E-2</v>
      </c>
      <c r="U134" s="5">
        <v>0.41110000000000002</v>
      </c>
      <c r="V134" s="3">
        <v>3</v>
      </c>
      <c r="W134" s="3">
        <v>30</v>
      </c>
      <c r="X134" s="3">
        <v>73</v>
      </c>
    </row>
    <row r="135" spans="1:24">
      <c r="A135" s="3" t="s">
        <v>49</v>
      </c>
      <c r="B135" s="3">
        <v>2025</v>
      </c>
      <c r="C135" s="3">
        <v>2</v>
      </c>
      <c r="D135" s="3" t="s">
        <v>62</v>
      </c>
      <c r="E135" s="4" t="b">
        <v>0</v>
      </c>
      <c r="F135" s="3">
        <v>146</v>
      </c>
      <c r="G135" s="3">
        <v>145</v>
      </c>
      <c r="H135" s="3">
        <f>HistoricalData[[#This Row],[staff_plan]]-HistoricalData[[#This Row],[staff_fact]]</f>
        <v>1</v>
      </c>
      <c r="I135" s="5">
        <v>2.2700000000000001E-2</v>
      </c>
      <c r="J135" s="5"/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50</v>
      </c>
      <c r="S135" s="3">
        <v>16</v>
      </c>
      <c r="T135" s="5">
        <v>9.06E-2</v>
      </c>
      <c r="U135" s="5">
        <v>0.3861</v>
      </c>
      <c r="V135" s="3">
        <v>5</v>
      </c>
      <c r="W135" s="3">
        <v>55</v>
      </c>
      <c r="X135" s="3">
        <v>142</v>
      </c>
    </row>
    <row r="136" spans="1:24">
      <c r="A136" s="3" t="s">
        <v>50</v>
      </c>
      <c r="B136" s="3">
        <v>2025</v>
      </c>
      <c r="C136" s="3">
        <v>3</v>
      </c>
      <c r="D136" s="3" t="s">
        <v>62</v>
      </c>
      <c r="E136" s="4" t="b">
        <v>0</v>
      </c>
      <c r="F136" s="3">
        <v>146</v>
      </c>
      <c r="G136" s="3">
        <v>145</v>
      </c>
      <c r="H136" s="3">
        <f>HistoricalData[[#This Row],[staff_plan]]-HistoricalData[[#This Row],[staff_fact]]</f>
        <v>1</v>
      </c>
      <c r="I136" s="5">
        <v>2.7099999999999999E-2</v>
      </c>
      <c r="J136" s="5"/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50</v>
      </c>
      <c r="S136" s="3">
        <v>16</v>
      </c>
      <c r="T136" s="5">
        <v>9.7900000000000001E-2</v>
      </c>
      <c r="U136" s="5">
        <v>0.41420000000000001</v>
      </c>
      <c r="V136" s="3">
        <v>4</v>
      </c>
      <c r="W136" s="3">
        <v>41</v>
      </c>
      <c r="X136" s="3">
        <v>99</v>
      </c>
    </row>
    <row r="137" spans="1:24">
      <c r="A137" s="3" t="s">
        <v>51</v>
      </c>
      <c r="B137" s="3">
        <v>2025</v>
      </c>
      <c r="C137" s="3">
        <v>4</v>
      </c>
      <c r="D137" s="3" t="s">
        <v>62</v>
      </c>
      <c r="E137" s="4" t="b">
        <v>0</v>
      </c>
      <c r="F137" s="3">
        <v>146</v>
      </c>
      <c r="G137" s="3">
        <v>145</v>
      </c>
      <c r="H137" s="3">
        <f>HistoricalData[[#This Row],[staff_plan]]-HistoricalData[[#This Row],[staff_fact]]</f>
        <v>1</v>
      </c>
      <c r="I137" s="5">
        <v>3.1099999999999999E-2</v>
      </c>
      <c r="J137" s="5"/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50</v>
      </c>
      <c r="S137" s="3">
        <v>16</v>
      </c>
      <c r="T137" s="5">
        <v>9.2999999999999999E-2</v>
      </c>
      <c r="U137" s="5">
        <v>0.4012</v>
      </c>
      <c r="V137" s="3">
        <v>5</v>
      </c>
      <c r="W137" s="3">
        <v>54</v>
      </c>
      <c r="X137" s="3">
        <v>135</v>
      </c>
    </row>
    <row r="138" spans="1:24">
      <c r="A138" s="3" t="s">
        <v>52</v>
      </c>
      <c r="B138" s="3">
        <v>2025</v>
      </c>
      <c r="C138" s="3">
        <v>5</v>
      </c>
      <c r="D138" s="3" t="s">
        <v>62</v>
      </c>
      <c r="E138" s="4" t="b">
        <v>0</v>
      </c>
      <c r="F138" s="3">
        <v>146</v>
      </c>
      <c r="G138" s="3">
        <v>145</v>
      </c>
      <c r="H138" s="3">
        <f>HistoricalData[[#This Row],[staff_plan]]-HistoricalData[[#This Row],[staff_fact]]</f>
        <v>1</v>
      </c>
      <c r="I138" s="5">
        <v>3.2000000000000001E-2</v>
      </c>
      <c r="J138" s="5"/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50</v>
      </c>
      <c r="S138" s="3">
        <v>16</v>
      </c>
      <c r="T138" s="5">
        <v>9.8799999999999999E-2</v>
      </c>
      <c r="U138" s="5">
        <v>0.41639999999999999</v>
      </c>
      <c r="V138" s="3">
        <v>5</v>
      </c>
      <c r="W138" s="3">
        <v>51</v>
      </c>
      <c r="X138" s="3">
        <v>122</v>
      </c>
    </row>
    <row r="139" spans="1:24">
      <c r="A139" s="3" t="s">
        <v>53</v>
      </c>
      <c r="B139" s="3">
        <v>2025</v>
      </c>
      <c r="C139" s="3">
        <v>6</v>
      </c>
      <c r="D139" s="3" t="s">
        <v>62</v>
      </c>
      <c r="E139" s="4" t="b">
        <v>0</v>
      </c>
      <c r="F139" s="3">
        <v>146</v>
      </c>
      <c r="G139" s="3">
        <v>144</v>
      </c>
      <c r="H139" s="3">
        <f>HistoricalData[[#This Row],[staff_plan]]-HistoricalData[[#This Row],[staff_fact]]</f>
        <v>2</v>
      </c>
      <c r="I139" s="5">
        <v>3.5900000000000001E-2</v>
      </c>
      <c r="J139" s="5"/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50</v>
      </c>
      <c r="S139" s="3">
        <v>16</v>
      </c>
      <c r="T139" s="5">
        <v>9.3399999999999997E-2</v>
      </c>
      <c r="U139" s="5">
        <v>0.36770000000000003</v>
      </c>
      <c r="V139" s="3">
        <v>4</v>
      </c>
      <c r="W139" s="3">
        <v>43</v>
      </c>
      <c r="X139" s="3">
        <v>117</v>
      </c>
    </row>
    <row r="140" spans="1:24">
      <c r="A140" s="3" t="s">
        <v>54</v>
      </c>
      <c r="B140" s="3">
        <v>2025</v>
      </c>
      <c r="C140" s="3">
        <v>7</v>
      </c>
      <c r="D140" s="3" t="s">
        <v>62</v>
      </c>
      <c r="E140" s="4" t="b">
        <v>0</v>
      </c>
      <c r="F140" s="3">
        <v>147</v>
      </c>
      <c r="G140" s="3">
        <v>144</v>
      </c>
      <c r="H140" s="3">
        <f>HistoricalData[[#This Row],[staff_plan]]-HistoricalData[[#This Row],[staff_fact]]</f>
        <v>3</v>
      </c>
      <c r="I140" s="5">
        <v>3.6600000000000001E-2</v>
      </c>
      <c r="J140" s="5"/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50</v>
      </c>
      <c r="S140" s="3">
        <v>16</v>
      </c>
      <c r="T140" s="5">
        <v>8.5000000000000006E-2</v>
      </c>
      <c r="U140" s="5">
        <v>0.4022</v>
      </c>
      <c r="V140" s="3">
        <v>5</v>
      </c>
      <c r="W140" s="3">
        <v>59</v>
      </c>
      <c r="X140" s="3">
        <v>147</v>
      </c>
    </row>
    <row r="141" spans="1:24">
      <c r="A141" s="3" t="s">
        <v>55</v>
      </c>
      <c r="B141" s="3">
        <v>2025</v>
      </c>
      <c r="C141" s="3">
        <v>8</v>
      </c>
      <c r="D141" s="3" t="s">
        <v>62</v>
      </c>
      <c r="E141" s="4" t="b">
        <v>0</v>
      </c>
      <c r="F141" s="3">
        <v>147</v>
      </c>
      <c r="G141" s="3">
        <v>144</v>
      </c>
      <c r="H141" s="3">
        <f>HistoricalData[[#This Row],[staff_plan]]-HistoricalData[[#This Row],[staff_fact]]</f>
        <v>3</v>
      </c>
      <c r="I141" s="5">
        <v>3.6499999999999998E-2</v>
      </c>
      <c r="J141" s="5"/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50</v>
      </c>
      <c r="S141" s="3">
        <v>16</v>
      </c>
      <c r="T141" s="5">
        <v>9.2399999999999996E-2</v>
      </c>
      <c r="U141" s="5">
        <v>0.40679999999999999</v>
      </c>
      <c r="V141" s="3">
        <v>5</v>
      </c>
      <c r="W141" s="3">
        <v>54</v>
      </c>
      <c r="X141" s="3">
        <v>133</v>
      </c>
    </row>
    <row r="142" spans="1:24">
      <c r="A142" s="3" t="s">
        <v>56</v>
      </c>
      <c r="B142" s="3">
        <v>2025</v>
      </c>
      <c r="C142" s="3">
        <v>9</v>
      </c>
      <c r="D142" s="3" t="s">
        <v>62</v>
      </c>
      <c r="E142" s="4" t="b">
        <v>0</v>
      </c>
      <c r="F142" s="3">
        <v>147</v>
      </c>
      <c r="G142" s="3">
        <v>146</v>
      </c>
      <c r="H142" s="3">
        <f>HistoricalData[[#This Row],[staff_plan]]-HistoricalData[[#This Row],[staff_fact]]</f>
        <v>1</v>
      </c>
      <c r="I142" s="5">
        <v>3.3399999999999999E-2</v>
      </c>
      <c r="J142" s="5"/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50</v>
      </c>
      <c r="S142" s="3">
        <v>16</v>
      </c>
      <c r="T142" s="5">
        <v>8.2100000000000006E-2</v>
      </c>
      <c r="U142" s="5">
        <v>0.42370000000000002</v>
      </c>
      <c r="V142" s="3">
        <v>7</v>
      </c>
      <c r="W142" s="3">
        <v>85</v>
      </c>
      <c r="X142" s="3">
        <v>201</v>
      </c>
    </row>
    <row r="143" spans="1:24">
      <c r="A143" s="3" t="s">
        <v>57</v>
      </c>
      <c r="B143" s="3">
        <v>2025</v>
      </c>
      <c r="C143" s="3">
        <v>10</v>
      </c>
      <c r="D143" s="3" t="s">
        <v>62</v>
      </c>
      <c r="E143" s="4" t="b">
        <v>0</v>
      </c>
      <c r="F143" s="3">
        <v>147</v>
      </c>
      <c r="G143" s="3">
        <v>146</v>
      </c>
      <c r="H143" s="3">
        <f>HistoricalData[[#This Row],[staff_plan]]-HistoricalData[[#This Row],[staff_fact]]</f>
        <v>1</v>
      </c>
      <c r="I143" s="5">
        <v>2.7699999999999999E-2</v>
      </c>
      <c r="J143" s="5"/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50</v>
      </c>
      <c r="S143" s="3">
        <v>16</v>
      </c>
      <c r="T143" s="5">
        <v>9.2299999999999993E-2</v>
      </c>
      <c r="U143" s="5">
        <v>0.4239</v>
      </c>
      <c r="V143" s="3">
        <v>4</v>
      </c>
      <c r="W143" s="3">
        <v>43</v>
      </c>
      <c r="X143" s="3">
        <v>101</v>
      </c>
    </row>
    <row r="144" spans="1:24">
      <c r="A144" s="3" t="s">
        <v>58</v>
      </c>
      <c r="B144" s="3">
        <v>2025</v>
      </c>
      <c r="C144" s="3">
        <v>11</v>
      </c>
      <c r="D144" s="3" t="s">
        <v>62</v>
      </c>
      <c r="E144" s="4" t="b">
        <v>0</v>
      </c>
      <c r="F144" s="3">
        <v>147</v>
      </c>
      <c r="G144" s="3">
        <v>146</v>
      </c>
      <c r="H144" s="3">
        <f>HistoricalData[[#This Row],[staff_plan]]-HistoricalData[[#This Row],[staff_fact]]</f>
        <v>1</v>
      </c>
      <c r="I144" s="5">
        <v>2.5100000000000001E-2</v>
      </c>
      <c r="J144" s="5"/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50</v>
      </c>
      <c r="S144" s="3">
        <v>16</v>
      </c>
      <c r="T144" s="5">
        <v>0.10489999999999999</v>
      </c>
      <c r="U144" s="5">
        <v>0.35720000000000002</v>
      </c>
      <c r="V144" s="3">
        <v>4</v>
      </c>
      <c r="W144" s="3">
        <v>38</v>
      </c>
      <c r="X144" s="3">
        <v>106</v>
      </c>
    </row>
    <row r="145" spans="1:24">
      <c r="A145" s="3" t="s">
        <v>59</v>
      </c>
      <c r="B145" s="3">
        <v>2025</v>
      </c>
      <c r="C145" s="3">
        <v>12</v>
      </c>
      <c r="D145" s="3" t="s">
        <v>62</v>
      </c>
      <c r="E145" s="4" t="b">
        <v>0</v>
      </c>
      <c r="F145" s="3">
        <v>147</v>
      </c>
      <c r="G145" s="3">
        <v>146</v>
      </c>
      <c r="H145" s="3">
        <f>HistoricalData[[#This Row],[staff_plan]]-HistoricalData[[#This Row],[staff_fact]]</f>
        <v>1</v>
      </c>
      <c r="I145" s="5">
        <v>1.9900000000000001E-2</v>
      </c>
      <c r="J145" s="5"/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50</v>
      </c>
      <c r="S145" s="3">
        <v>16</v>
      </c>
      <c r="T145" s="5">
        <v>9.35E-2</v>
      </c>
      <c r="U145" s="5">
        <v>0.39650000000000002</v>
      </c>
      <c r="V145" s="3">
        <v>3</v>
      </c>
      <c r="W145" s="3">
        <v>32</v>
      </c>
      <c r="X145" s="3">
        <v>81</v>
      </c>
    </row>
    <row r="146" spans="1:24">
      <c r="A146" s="3" t="s">
        <v>23</v>
      </c>
      <c r="B146" s="3">
        <v>2023</v>
      </c>
      <c r="C146" s="3">
        <v>1</v>
      </c>
      <c r="D146" s="3" t="s">
        <v>63</v>
      </c>
      <c r="E146" s="4" t="b">
        <v>0</v>
      </c>
      <c r="F146" s="3">
        <v>115</v>
      </c>
      <c r="G146" s="3">
        <v>100</v>
      </c>
      <c r="H146" s="3">
        <f>HistoricalData[[#This Row],[staff_plan]]-HistoricalData[[#This Row],[staff_fact]]</f>
        <v>15</v>
      </c>
      <c r="I146" s="5">
        <v>3.1600000000000003E-2</v>
      </c>
      <c r="J146" s="5"/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42</v>
      </c>
      <c r="S146" s="3">
        <v>14</v>
      </c>
      <c r="T146" s="5">
        <v>7.1400000000000005E-2</v>
      </c>
      <c r="U146" s="5">
        <v>0.44379999999999997</v>
      </c>
      <c r="V146" s="3">
        <v>11</v>
      </c>
      <c r="W146" s="3">
        <v>154</v>
      </c>
      <c r="X146" s="3">
        <v>347</v>
      </c>
    </row>
    <row r="147" spans="1:24">
      <c r="A147" s="3" t="s">
        <v>25</v>
      </c>
      <c r="B147" s="3">
        <v>2023</v>
      </c>
      <c r="C147" s="3">
        <v>2</v>
      </c>
      <c r="D147" s="3" t="s">
        <v>63</v>
      </c>
      <c r="E147" s="4" t="b">
        <v>0</v>
      </c>
      <c r="F147" s="3">
        <v>115</v>
      </c>
      <c r="G147" s="3">
        <v>111</v>
      </c>
      <c r="H147" s="3">
        <f>HistoricalData[[#This Row],[staff_plan]]-HistoricalData[[#This Row],[staff_fact]]</f>
        <v>4</v>
      </c>
      <c r="I147" s="5">
        <v>2.53E-2</v>
      </c>
      <c r="J147" s="5"/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42</v>
      </c>
      <c r="S147" s="3">
        <v>14</v>
      </c>
      <c r="T147" s="5">
        <v>7.4700000000000003E-2</v>
      </c>
      <c r="U147" s="5">
        <v>0.35709999999999997</v>
      </c>
      <c r="V147" s="3">
        <v>14</v>
      </c>
      <c r="W147" s="3">
        <v>187</v>
      </c>
      <c r="X147" s="3">
        <v>524</v>
      </c>
    </row>
    <row r="148" spans="1:24">
      <c r="A148" s="3" t="s">
        <v>26</v>
      </c>
      <c r="B148" s="3">
        <v>2023</v>
      </c>
      <c r="C148" s="3">
        <v>3</v>
      </c>
      <c r="D148" s="3" t="s">
        <v>63</v>
      </c>
      <c r="E148" s="4" t="b">
        <v>0</v>
      </c>
      <c r="F148" s="3">
        <v>115</v>
      </c>
      <c r="G148" s="3">
        <v>113</v>
      </c>
      <c r="H148" s="3">
        <f>HistoricalData[[#This Row],[staff_plan]]-HistoricalData[[#This Row],[staff_fact]]</f>
        <v>2</v>
      </c>
      <c r="I148" s="5">
        <v>3.2099999999999997E-2</v>
      </c>
      <c r="J148" s="5"/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42</v>
      </c>
      <c r="S148" s="3">
        <v>14</v>
      </c>
      <c r="T148" s="5">
        <v>6.6000000000000003E-2</v>
      </c>
      <c r="U148" s="5">
        <v>0.36370000000000002</v>
      </c>
      <c r="V148" s="3">
        <v>6</v>
      </c>
      <c r="W148" s="3">
        <v>91</v>
      </c>
      <c r="X148" s="3">
        <v>250</v>
      </c>
    </row>
    <row r="149" spans="1:24">
      <c r="A149" s="3" t="s">
        <v>27</v>
      </c>
      <c r="B149" s="3">
        <v>2023</v>
      </c>
      <c r="C149" s="3">
        <v>4</v>
      </c>
      <c r="D149" s="3" t="s">
        <v>63</v>
      </c>
      <c r="E149" s="4" t="b">
        <v>0</v>
      </c>
      <c r="F149" s="3">
        <v>115</v>
      </c>
      <c r="G149" s="3">
        <v>114</v>
      </c>
      <c r="H149" s="3">
        <f>HistoricalData[[#This Row],[staff_plan]]-HistoricalData[[#This Row],[staff_fact]]</f>
        <v>1</v>
      </c>
      <c r="I149" s="5">
        <v>3.6200000000000003E-2</v>
      </c>
      <c r="J149" s="5"/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42</v>
      </c>
      <c r="S149" s="3">
        <v>14</v>
      </c>
      <c r="T149" s="5">
        <v>6.88E-2</v>
      </c>
      <c r="U149" s="5">
        <v>0.32819999999999999</v>
      </c>
      <c r="V149" s="3">
        <v>5</v>
      </c>
      <c r="W149" s="3">
        <v>73</v>
      </c>
      <c r="X149" s="3">
        <v>222</v>
      </c>
    </row>
    <row r="150" spans="1:24">
      <c r="A150" s="3" t="s">
        <v>28</v>
      </c>
      <c r="B150" s="3">
        <v>2023</v>
      </c>
      <c r="C150" s="3">
        <v>5</v>
      </c>
      <c r="D150" s="3" t="s">
        <v>63</v>
      </c>
      <c r="E150" s="4" t="b">
        <v>0</v>
      </c>
      <c r="F150" s="3">
        <v>116</v>
      </c>
      <c r="G150" s="3">
        <v>114</v>
      </c>
      <c r="H150" s="3">
        <f>HistoricalData[[#This Row],[staff_plan]]-HistoricalData[[#This Row],[staff_fact]]</f>
        <v>2</v>
      </c>
      <c r="I150" s="5">
        <v>4.3900000000000002E-2</v>
      </c>
      <c r="J150" s="5"/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42</v>
      </c>
      <c r="S150" s="3">
        <v>14</v>
      </c>
      <c r="T150" s="5">
        <v>7.6499999999999999E-2</v>
      </c>
      <c r="U150" s="5">
        <v>0.32629999999999998</v>
      </c>
      <c r="V150" s="3">
        <v>5</v>
      </c>
      <c r="W150" s="3">
        <v>65</v>
      </c>
      <c r="X150" s="3">
        <v>199</v>
      </c>
    </row>
    <row r="151" spans="1:24">
      <c r="A151" s="3" t="s">
        <v>29</v>
      </c>
      <c r="B151" s="3">
        <v>2023</v>
      </c>
      <c r="C151" s="3">
        <v>6</v>
      </c>
      <c r="D151" s="3" t="s">
        <v>63</v>
      </c>
      <c r="E151" s="4" t="b">
        <v>0</v>
      </c>
      <c r="F151" s="3">
        <v>116</v>
      </c>
      <c r="G151" s="3">
        <v>114</v>
      </c>
      <c r="H151" s="3">
        <f>HistoricalData[[#This Row],[staff_plan]]-HistoricalData[[#This Row],[staff_fact]]</f>
        <v>2</v>
      </c>
      <c r="I151" s="5">
        <v>4.1300000000000003E-2</v>
      </c>
      <c r="J151" s="5"/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42</v>
      </c>
      <c r="S151" s="3">
        <v>14</v>
      </c>
      <c r="T151" s="5">
        <v>6.8400000000000002E-2</v>
      </c>
      <c r="U151" s="5">
        <v>0.33069999999999999</v>
      </c>
      <c r="V151" s="3">
        <v>5</v>
      </c>
      <c r="W151" s="3">
        <v>73</v>
      </c>
      <c r="X151" s="3">
        <v>221</v>
      </c>
    </row>
    <row r="152" spans="1:24">
      <c r="A152" s="3" t="s">
        <v>30</v>
      </c>
      <c r="B152" s="3">
        <v>2023</v>
      </c>
      <c r="C152" s="3">
        <v>7</v>
      </c>
      <c r="D152" s="3" t="s">
        <v>63</v>
      </c>
      <c r="E152" s="4" t="b">
        <v>0</v>
      </c>
      <c r="F152" s="3">
        <v>116</v>
      </c>
      <c r="G152" s="3">
        <v>114</v>
      </c>
      <c r="H152" s="3">
        <f>HistoricalData[[#This Row],[staff_plan]]-HistoricalData[[#This Row],[staff_fact]]</f>
        <v>2</v>
      </c>
      <c r="I152" s="5">
        <v>5.1299999999999998E-2</v>
      </c>
      <c r="J152" s="5"/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42</v>
      </c>
      <c r="S152" s="3">
        <v>14</v>
      </c>
      <c r="T152" s="5">
        <v>6.5000000000000002E-2</v>
      </c>
      <c r="U152" s="5">
        <v>0.3291</v>
      </c>
      <c r="V152" s="3">
        <v>6</v>
      </c>
      <c r="W152" s="3">
        <v>92</v>
      </c>
      <c r="X152" s="3">
        <v>280</v>
      </c>
    </row>
    <row r="153" spans="1:24">
      <c r="A153" s="3" t="s">
        <v>31</v>
      </c>
      <c r="B153" s="3">
        <v>2023</v>
      </c>
      <c r="C153" s="3">
        <v>8</v>
      </c>
      <c r="D153" s="3" t="s">
        <v>63</v>
      </c>
      <c r="E153" s="4" t="b">
        <v>0</v>
      </c>
      <c r="F153" s="3">
        <v>116</v>
      </c>
      <c r="G153" s="3">
        <v>114</v>
      </c>
      <c r="H153" s="3">
        <f>HistoricalData[[#This Row],[staff_plan]]-HistoricalData[[#This Row],[staff_fact]]</f>
        <v>2</v>
      </c>
      <c r="I153" s="5">
        <v>4.6300000000000001E-2</v>
      </c>
      <c r="J153" s="5"/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42</v>
      </c>
      <c r="S153" s="3">
        <v>14</v>
      </c>
      <c r="T153" s="5">
        <v>7.8700000000000006E-2</v>
      </c>
      <c r="U153" s="5">
        <v>0.3453</v>
      </c>
      <c r="V153" s="3">
        <v>5</v>
      </c>
      <c r="W153" s="3">
        <v>64</v>
      </c>
      <c r="X153" s="3">
        <v>185</v>
      </c>
    </row>
    <row r="154" spans="1:24">
      <c r="A154" s="3" t="s">
        <v>32</v>
      </c>
      <c r="B154" s="3">
        <v>2023</v>
      </c>
      <c r="C154" s="3">
        <v>9</v>
      </c>
      <c r="D154" s="3" t="s">
        <v>63</v>
      </c>
      <c r="E154" s="4" t="b">
        <v>0</v>
      </c>
      <c r="F154" s="3">
        <v>116</v>
      </c>
      <c r="G154" s="3">
        <v>115</v>
      </c>
      <c r="H154" s="3">
        <f>HistoricalData[[#This Row],[staff_plan]]-HistoricalData[[#This Row],[staff_fact]]</f>
        <v>1</v>
      </c>
      <c r="I154" s="5">
        <v>3.4599999999999999E-2</v>
      </c>
      <c r="J154" s="5"/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42</v>
      </c>
      <c r="S154" s="3">
        <v>14</v>
      </c>
      <c r="T154" s="5">
        <v>7.0300000000000001E-2</v>
      </c>
      <c r="U154" s="5">
        <v>0.3251</v>
      </c>
      <c r="V154" s="3">
        <v>5</v>
      </c>
      <c r="W154" s="3">
        <v>71</v>
      </c>
      <c r="X154" s="3">
        <v>218</v>
      </c>
    </row>
    <row r="155" spans="1:24">
      <c r="A155" s="3" t="s">
        <v>33</v>
      </c>
      <c r="B155" s="3">
        <v>2023</v>
      </c>
      <c r="C155" s="3">
        <v>10</v>
      </c>
      <c r="D155" s="3" t="s">
        <v>63</v>
      </c>
      <c r="E155" s="4" t="b">
        <v>0</v>
      </c>
      <c r="F155" s="3">
        <v>116</v>
      </c>
      <c r="G155" s="3">
        <v>114</v>
      </c>
      <c r="H155" s="3">
        <f>HistoricalData[[#This Row],[staff_plan]]-HistoricalData[[#This Row],[staff_fact]]</f>
        <v>2</v>
      </c>
      <c r="I155" s="5">
        <v>3.6299999999999999E-2</v>
      </c>
      <c r="J155" s="5"/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42</v>
      </c>
      <c r="S155" s="3">
        <v>14</v>
      </c>
      <c r="T155" s="5">
        <v>6.6299999999999998E-2</v>
      </c>
      <c r="U155" s="5">
        <v>0.3821</v>
      </c>
      <c r="V155" s="3">
        <v>3</v>
      </c>
      <c r="W155" s="3">
        <v>45</v>
      </c>
      <c r="X155" s="3">
        <v>118</v>
      </c>
    </row>
    <row r="156" spans="1:24">
      <c r="A156" s="3" t="s">
        <v>34</v>
      </c>
      <c r="B156" s="3">
        <v>2023</v>
      </c>
      <c r="C156" s="3">
        <v>11</v>
      </c>
      <c r="D156" s="3" t="s">
        <v>63</v>
      </c>
      <c r="E156" s="4" t="b">
        <v>0</v>
      </c>
      <c r="F156" s="3">
        <v>116</v>
      </c>
      <c r="G156" s="3">
        <v>114</v>
      </c>
      <c r="H156" s="3">
        <f>HistoricalData[[#This Row],[staff_plan]]-HistoricalData[[#This Row],[staff_fact]]</f>
        <v>2</v>
      </c>
      <c r="I156" s="5">
        <v>2.9000000000000001E-2</v>
      </c>
      <c r="J156" s="5"/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42</v>
      </c>
      <c r="S156" s="3">
        <v>14</v>
      </c>
      <c r="T156" s="5">
        <v>6.54E-2</v>
      </c>
      <c r="U156" s="5">
        <v>0.2954</v>
      </c>
      <c r="V156" s="3">
        <v>3</v>
      </c>
      <c r="W156" s="3">
        <v>46</v>
      </c>
      <c r="X156" s="3">
        <v>156</v>
      </c>
    </row>
    <row r="157" spans="1:24">
      <c r="A157" s="3" t="s">
        <v>35</v>
      </c>
      <c r="B157" s="3">
        <v>2023</v>
      </c>
      <c r="C157" s="3">
        <v>12</v>
      </c>
      <c r="D157" s="3" t="s">
        <v>63</v>
      </c>
      <c r="E157" s="4" t="b">
        <v>0</v>
      </c>
      <c r="F157" s="3">
        <v>117</v>
      </c>
      <c r="G157" s="3">
        <v>115</v>
      </c>
      <c r="H157" s="3">
        <f>HistoricalData[[#This Row],[staff_plan]]-HistoricalData[[#This Row],[staff_fact]]</f>
        <v>2</v>
      </c>
      <c r="I157" s="5">
        <v>2.6599999999999999E-2</v>
      </c>
      <c r="J157" s="5"/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42</v>
      </c>
      <c r="S157" s="3">
        <v>14</v>
      </c>
      <c r="T157" s="5">
        <v>7.3700000000000002E-2</v>
      </c>
      <c r="U157" s="5">
        <v>0.33789999999999998</v>
      </c>
      <c r="V157" s="3">
        <v>4</v>
      </c>
      <c r="W157" s="3">
        <v>54</v>
      </c>
      <c r="X157" s="3">
        <v>160</v>
      </c>
    </row>
    <row r="158" spans="1:24">
      <c r="A158" s="3" t="s">
        <v>36</v>
      </c>
      <c r="B158" s="3">
        <v>2024</v>
      </c>
      <c r="C158" s="3">
        <v>1</v>
      </c>
      <c r="D158" s="3" t="s">
        <v>63</v>
      </c>
      <c r="E158" s="4" t="b">
        <v>0</v>
      </c>
      <c r="F158" s="3">
        <v>120</v>
      </c>
      <c r="G158" s="3">
        <v>117</v>
      </c>
      <c r="H158" s="3">
        <f>HistoricalData[[#This Row],[staff_plan]]-HistoricalData[[#This Row],[staff_fact]]</f>
        <v>3</v>
      </c>
      <c r="I158" s="5">
        <v>3.1899999999999998E-2</v>
      </c>
      <c r="J158" s="5"/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42</v>
      </c>
      <c r="S158" s="3">
        <v>14</v>
      </c>
      <c r="T158" s="5">
        <v>7.3200000000000001E-2</v>
      </c>
      <c r="U158" s="5">
        <v>0.36720000000000003</v>
      </c>
      <c r="V158" s="3">
        <v>6</v>
      </c>
      <c r="W158" s="3">
        <v>82</v>
      </c>
      <c r="X158" s="3">
        <v>223</v>
      </c>
    </row>
    <row r="159" spans="1:24">
      <c r="A159" s="3" t="s">
        <v>37</v>
      </c>
      <c r="B159" s="3">
        <v>2024</v>
      </c>
      <c r="C159" s="3">
        <v>2</v>
      </c>
      <c r="D159" s="3" t="s">
        <v>63</v>
      </c>
      <c r="E159" s="4" t="b">
        <v>0</v>
      </c>
      <c r="F159" s="3">
        <v>120</v>
      </c>
      <c r="G159" s="3">
        <v>118</v>
      </c>
      <c r="H159" s="3">
        <f>HistoricalData[[#This Row],[staff_plan]]-HistoricalData[[#This Row],[staff_fact]]</f>
        <v>2</v>
      </c>
      <c r="I159" s="5">
        <v>3.2500000000000001E-2</v>
      </c>
      <c r="J159" s="5"/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42</v>
      </c>
      <c r="S159" s="3">
        <v>14</v>
      </c>
      <c r="T159" s="5">
        <v>9.5799999999999996E-2</v>
      </c>
      <c r="U159" s="5">
        <v>0.3931</v>
      </c>
      <c r="V159" s="3">
        <v>5</v>
      </c>
      <c r="W159" s="3">
        <v>52</v>
      </c>
      <c r="X159" s="3">
        <v>132</v>
      </c>
    </row>
    <row r="160" spans="1:24">
      <c r="A160" s="3" t="s">
        <v>38</v>
      </c>
      <c r="B160" s="3">
        <v>2024</v>
      </c>
      <c r="C160" s="3">
        <v>3</v>
      </c>
      <c r="D160" s="3" t="s">
        <v>63</v>
      </c>
      <c r="E160" s="4" t="b">
        <v>0</v>
      </c>
      <c r="F160" s="3">
        <v>120</v>
      </c>
      <c r="G160" s="3">
        <v>118</v>
      </c>
      <c r="H160" s="3">
        <f>HistoricalData[[#This Row],[staff_plan]]-HistoricalData[[#This Row],[staff_fact]]</f>
        <v>2</v>
      </c>
      <c r="I160" s="5">
        <v>3.5900000000000001E-2</v>
      </c>
      <c r="J160" s="5"/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42</v>
      </c>
      <c r="S160" s="3">
        <v>14</v>
      </c>
      <c r="T160" s="5">
        <v>7.0400000000000004E-2</v>
      </c>
      <c r="U160" s="5">
        <v>0.36449999999999999</v>
      </c>
      <c r="V160" s="3">
        <v>4</v>
      </c>
      <c r="W160" s="3">
        <v>57</v>
      </c>
      <c r="X160" s="3">
        <v>156</v>
      </c>
    </row>
    <row r="161" spans="1:24">
      <c r="A161" s="3" t="s">
        <v>39</v>
      </c>
      <c r="B161" s="3">
        <v>2024</v>
      </c>
      <c r="C161" s="3">
        <v>4</v>
      </c>
      <c r="D161" s="3" t="s">
        <v>63</v>
      </c>
      <c r="E161" s="4" t="b">
        <v>0</v>
      </c>
      <c r="F161" s="3">
        <v>120</v>
      </c>
      <c r="G161" s="3">
        <v>119</v>
      </c>
      <c r="H161" s="3">
        <f>HistoricalData[[#This Row],[staff_plan]]-HistoricalData[[#This Row],[staff_fact]]</f>
        <v>1</v>
      </c>
      <c r="I161" s="5">
        <v>3.5900000000000001E-2</v>
      </c>
      <c r="J161" s="5"/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42</v>
      </c>
      <c r="S161" s="3">
        <v>14</v>
      </c>
      <c r="T161" s="5">
        <v>6.8599999999999994E-2</v>
      </c>
      <c r="U161" s="5">
        <v>0.34889999999999999</v>
      </c>
      <c r="V161" s="3">
        <v>5</v>
      </c>
      <c r="W161" s="3">
        <v>73</v>
      </c>
      <c r="X161" s="3">
        <v>209</v>
      </c>
    </row>
    <row r="162" spans="1:24">
      <c r="A162" s="3" t="s">
        <v>40</v>
      </c>
      <c r="B162" s="3">
        <v>2024</v>
      </c>
      <c r="C162" s="3">
        <v>5</v>
      </c>
      <c r="D162" s="3" t="s">
        <v>63</v>
      </c>
      <c r="E162" s="4" t="b">
        <v>0</v>
      </c>
      <c r="F162" s="3">
        <v>120</v>
      </c>
      <c r="G162" s="3">
        <v>117</v>
      </c>
      <c r="H162" s="3">
        <f>HistoricalData[[#This Row],[staff_plan]]-HistoricalData[[#This Row],[staff_fact]]</f>
        <v>3</v>
      </c>
      <c r="I162" s="5">
        <v>4.7100000000000003E-2</v>
      </c>
      <c r="J162" s="5"/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42</v>
      </c>
      <c r="S162" s="3">
        <v>14</v>
      </c>
      <c r="T162" s="5">
        <v>5.3199999999999997E-2</v>
      </c>
      <c r="U162" s="5">
        <v>0.32669999999999999</v>
      </c>
      <c r="V162" s="3">
        <v>4</v>
      </c>
      <c r="W162" s="3">
        <v>75</v>
      </c>
      <c r="X162" s="3">
        <v>230</v>
      </c>
    </row>
    <row r="163" spans="1:24">
      <c r="A163" s="3" t="s">
        <v>41</v>
      </c>
      <c r="B163" s="3">
        <v>2024</v>
      </c>
      <c r="C163" s="3">
        <v>6</v>
      </c>
      <c r="D163" s="3" t="s">
        <v>63</v>
      </c>
      <c r="E163" s="4" t="b">
        <v>0</v>
      </c>
      <c r="F163" s="3">
        <v>120</v>
      </c>
      <c r="G163" s="3">
        <v>119</v>
      </c>
      <c r="H163" s="3">
        <f>HistoricalData[[#This Row],[staff_plan]]-HistoricalData[[#This Row],[staff_fact]]</f>
        <v>1</v>
      </c>
      <c r="I163" s="5">
        <v>4.6399999999999997E-2</v>
      </c>
      <c r="J163" s="5"/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42</v>
      </c>
      <c r="S163" s="3">
        <v>14</v>
      </c>
      <c r="T163" s="5">
        <v>5.4199999999999998E-2</v>
      </c>
      <c r="U163" s="5">
        <v>0.3473</v>
      </c>
      <c r="V163" s="3">
        <v>7</v>
      </c>
      <c r="W163" s="3">
        <v>129</v>
      </c>
      <c r="X163" s="3">
        <v>371</v>
      </c>
    </row>
    <row r="164" spans="1:24">
      <c r="A164" s="3" t="s">
        <v>42</v>
      </c>
      <c r="B164" s="3">
        <v>2024</v>
      </c>
      <c r="C164" s="3">
        <v>7</v>
      </c>
      <c r="D164" s="3" t="s">
        <v>63</v>
      </c>
      <c r="E164" s="4" t="b">
        <v>0</v>
      </c>
      <c r="F164" s="3">
        <v>121</v>
      </c>
      <c r="G164" s="3">
        <v>120</v>
      </c>
      <c r="H164" s="3">
        <f>HistoricalData[[#This Row],[staff_plan]]-HistoricalData[[#This Row],[staff_fact]]</f>
        <v>1</v>
      </c>
      <c r="I164" s="5">
        <v>4.9799999999999997E-2</v>
      </c>
      <c r="J164" s="5"/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42</v>
      </c>
      <c r="S164" s="3">
        <v>14</v>
      </c>
      <c r="T164" s="5">
        <v>6.5100000000000005E-2</v>
      </c>
      <c r="U164" s="5">
        <v>0.29980000000000001</v>
      </c>
      <c r="V164" s="3">
        <v>7</v>
      </c>
      <c r="W164" s="3">
        <v>107</v>
      </c>
      <c r="X164" s="3">
        <v>357</v>
      </c>
    </row>
    <row r="165" spans="1:24">
      <c r="A165" s="3" t="s">
        <v>43</v>
      </c>
      <c r="B165" s="3">
        <v>2024</v>
      </c>
      <c r="C165" s="3">
        <v>8</v>
      </c>
      <c r="D165" s="3" t="s">
        <v>63</v>
      </c>
      <c r="E165" s="4" t="b">
        <v>0</v>
      </c>
      <c r="F165" s="3">
        <v>121</v>
      </c>
      <c r="G165" s="3">
        <v>119</v>
      </c>
      <c r="H165" s="3">
        <f>HistoricalData[[#This Row],[staff_plan]]-HistoricalData[[#This Row],[staff_fact]]</f>
        <v>2</v>
      </c>
      <c r="I165" s="5">
        <v>5.0099999999999999E-2</v>
      </c>
      <c r="J165" s="5"/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42</v>
      </c>
      <c r="S165" s="3">
        <v>14</v>
      </c>
      <c r="T165" s="5">
        <v>7.3499999999999996E-2</v>
      </c>
      <c r="U165" s="5">
        <v>0.33160000000000001</v>
      </c>
      <c r="V165" s="3">
        <v>5</v>
      </c>
      <c r="W165" s="3">
        <v>68</v>
      </c>
      <c r="X165" s="3">
        <v>205</v>
      </c>
    </row>
    <row r="166" spans="1:24">
      <c r="A166" s="3" t="s">
        <v>44</v>
      </c>
      <c r="B166" s="3">
        <v>2024</v>
      </c>
      <c r="C166" s="3">
        <v>9</v>
      </c>
      <c r="D166" s="3" t="s">
        <v>63</v>
      </c>
      <c r="E166" s="4" t="b">
        <v>0</v>
      </c>
      <c r="F166" s="3">
        <v>121</v>
      </c>
      <c r="G166" s="3">
        <v>120</v>
      </c>
      <c r="H166" s="3">
        <f>HistoricalData[[#This Row],[staff_plan]]-HistoricalData[[#This Row],[staff_fact]]</f>
        <v>1</v>
      </c>
      <c r="I166" s="5">
        <v>4.2500000000000003E-2</v>
      </c>
      <c r="J166" s="5"/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42</v>
      </c>
      <c r="S166" s="3">
        <v>14</v>
      </c>
      <c r="T166" s="5">
        <v>8.2600000000000007E-2</v>
      </c>
      <c r="U166" s="5">
        <v>0.33579999999999999</v>
      </c>
      <c r="V166" s="3">
        <v>6</v>
      </c>
      <c r="W166" s="3">
        <v>73</v>
      </c>
      <c r="X166" s="3">
        <v>217</v>
      </c>
    </row>
    <row r="167" spans="1:24">
      <c r="A167" s="3" t="s">
        <v>45</v>
      </c>
      <c r="B167" s="3">
        <v>2024</v>
      </c>
      <c r="C167" s="3">
        <v>10</v>
      </c>
      <c r="D167" s="3" t="s">
        <v>63</v>
      </c>
      <c r="E167" s="4" t="b">
        <v>0</v>
      </c>
      <c r="F167" s="3">
        <v>121</v>
      </c>
      <c r="G167" s="3">
        <v>119</v>
      </c>
      <c r="H167" s="3">
        <f>HistoricalData[[#This Row],[staff_plan]]-HistoricalData[[#This Row],[staff_fact]]</f>
        <v>2</v>
      </c>
      <c r="I167" s="5">
        <v>3.8600000000000002E-2</v>
      </c>
      <c r="J167" s="5"/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42</v>
      </c>
      <c r="S167" s="3">
        <v>14</v>
      </c>
      <c r="T167" s="5">
        <v>6.93E-2</v>
      </c>
      <c r="U167" s="5">
        <v>0.37619999999999998</v>
      </c>
      <c r="V167" s="3">
        <v>4</v>
      </c>
      <c r="W167" s="3">
        <v>58</v>
      </c>
      <c r="X167" s="3">
        <v>154</v>
      </c>
    </row>
    <row r="168" spans="1:24">
      <c r="A168" s="3" t="s">
        <v>46</v>
      </c>
      <c r="B168" s="3">
        <v>2024</v>
      </c>
      <c r="C168" s="3">
        <v>11</v>
      </c>
      <c r="D168" s="3" t="s">
        <v>63</v>
      </c>
      <c r="E168" s="4" t="b">
        <v>0</v>
      </c>
      <c r="F168" s="3">
        <v>121</v>
      </c>
      <c r="G168" s="3">
        <v>119</v>
      </c>
      <c r="H168" s="3">
        <f>HistoricalData[[#This Row],[staff_plan]]-HistoricalData[[#This Row],[staff_fact]]</f>
        <v>2</v>
      </c>
      <c r="I168" s="5">
        <v>3.0800000000000001E-2</v>
      </c>
      <c r="J168" s="5"/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42</v>
      </c>
      <c r="S168" s="3">
        <v>14</v>
      </c>
      <c r="T168" s="5">
        <v>7.2599999999999998E-2</v>
      </c>
      <c r="U168" s="5">
        <v>0.36449999999999999</v>
      </c>
      <c r="V168" s="3">
        <v>4</v>
      </c>
      <c r="W168" s="3">
        <v>55</v>
      </c>
      <c r="X168" s="3">
        <v>151</v>
      </c>
    </row>
    <row r="169" spans="1:24">
      <c r="A169" s="3" t="s">
        <v>47</v>
      </c>
      <c r="B169" s="3">
        <v>2024</v>
      </c>
      <c r="C169" s="3">
        <v>12</v>
      </c>
      <c r="D169" s="3" t="s">
        <v>63</v>
      </c>
      <c r="E169" s="4" t="b">
        <v>0</v>
      </c>
      <c r="F169" s="3">
        <v>121</v>
      </c>
      <c r="G169" s="3">
        <v>120</v>
      </c>
      <c r="H169" s="3">
        <f>HistoricalData[[#This Row],[staff_plan]]-HistoricalData[[#This Row],[staff_fact]]</f>
        <v>1</v>
      </c>
      <c r="I169" s="5">
        <v>3.3399999999999999E-2</v>
      </c>
      <c r="J169" s="5"/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42</v>
      </c>
      <c r="S169" s="3">
        <v>14</v>
      </c>
      <c r="T169" s="5">
        <v>7.6399999999999996E-2</v>
      </c>
      <c r="U169" s="5">
        <v>0.39300000000000002</v>
      </c>
      <c r="V169" s="3">
        <v>5</v>
      </c>
      <c r="W169" s="3">
        <v>65</v>
      </c>
      <c r="X169" s="3">
        <v>165</v>
      </c>
    </row>
    <row r="170" spans="1:24">
      <c r="A170" s="3" t="s">
        <v>48</v>
      </c>
      <c r="B170" s="3">
        <v>2025</v>
      </c>
      <c r="C170" s="3">
        <v>1</v>
      </c>
      <c r="D170" s="3" t="s">
        <v>63</v>
      </c>
      <c r="E170" s="4" t="b">
        <v>0</v>
      </c>
      <c r="F170" s="3">
        <v>124</v>
      </c>
      <c r="G170" s="3">
        <v>122</v>
      </c>
      <c r="H170" s="3">
        <f>HistoricalData[[#This Row],[staff_plan]]-HistoricalData[[#This Row],[staff_fact]]</f>
        <v>2</v>
      </c>
      <c r="I170" s="5">
        <v>3.4000000000000002E-2</v>
      </c>
      <c r="J170" s="5"/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42</v>
      </c>
      <c r="S170" s="3">
        <v>14</v>
      </c>
      <c r="T170" s="5">
        <v>7.8600000000000003E-2</v>
      </c>
      <c r="U170" s="5">
        <v>0.35930000000000001</v>
      </c>
      <c r="V170" s="3">
        <v>6</v>
      </c>
      <c r="W170" s="3">
        <v>76</v>
      </c>
      <c r="X170" s="3">
        <v>212</v>
      </c>
    </row>
    <row r="171" spans="1:24">
      <c r="A171" s="3" t="s">
        <v>49</v>
      </c>
      <c r="B171" s="3">
        <v>2025</v>
      </c>
      <c r="C171" s="3">
        <v>2</v>
      </c>
      <c r="D171" s="3" t="s">
        <v>63</v>
      </c>
      <c r="E171" s="4" t="b">
        <v>0</v>
      </c>
      <c r="F171" s="3">
        <v>125</v>
      </c>
      <c r="G171" s="3">
        <v>123</v>
      </c>
      <c r="H171" s="3">
        <f>HistoricalData[[#This Row],[staff_plan]]-HistoricalData[[#This Row],[staff_fact]]</f>
        <v>2</v>
      </c>
      <c r="I171" s="5">
        <v>2.9100000000000001E-2</v>
      </c>
      <c r="J171" s="5"/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42</v>
      </c>
      <c r="S171" s="3">
        <v>14</v>
      </c>
      <c r="T171" s="5">
        <v>8.4699999999999998E-2</v>
      </c>
      <c r="U171" s="5">
        <v>0.28649999999999998</v>
      </c>
      <c r="V171" s="3">
        <v>5</v>
      </c>
      <c r="W171" s="3">
        <v>59</v>
      </c>
      <c r="X171" s="3">
        <v>206</v>
      </c>
    </row>
    <row r="172" spans="1:24">
      <c r="A172" s="3" t="s">
        <v>50</v>
      </c>
      <c r="B172" s="3">
        <v>2025</v>
      </c>
      <c r="C172" s="3">
        <v>3</v>
      </c>
      <c r="D172" s="3" t="s">
        <v>63</v>
      </c>
      <c r="E172" s="4" t="b">
        <v>0</v>
      </c>
      <c r="F172" s="3">
        <v>125</v>
      </c>
      <c r="G172" s="3">
        <v>123</v>
      </c>
      <c r="H172" s="3">
        <f>HistoricalData[[#This Row],[staff_plan]]-HistoricalData[[#This Row],[staff_fact]]</f>
        <v>2</v>
      </c>
      <c r="I172" s="5">
        <v>3.4299999999999997E-2</v>
      </c>
      <c r="J172" s="5"/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42</v>
      </c>
      <c r="S172" s="3">
        <v>14</v>
      </c>
      <c r="T172" s="5">
        <v>7.51E-2</v>
      </c>
      <c r="U172" s="5">
        <v>0.30740000000000001</v>
      </c>
      <c r="V172" s="3">
        <v>4</v>
      </c>
      <c r="W172" s="3">
        <v>53</v>
      </c>
      <c r="X172" s="3">
        <v>172</v>
      </c>
    </row>
    <row r="173" spans="1:24">
      <c r="A173" s="3" t="s">
        <v>51</v>
      </c>
      <c r="B173" s="3">
        <v>2025</v>
      </c>
      <c r="C173" s="3">
        <v>4</v>
      </c>
      <c r="D173" s="3" t="s">
        <v>63</v>
      </c>
      <c r="E173" s="4" t="b">
        <v>0</v>
      </c>
      <c r="F173" s="3">
        <v>125</v>
      </c>
      <c r="G173" s="3">
        <v>124</v>
      </c>
      <c r="H173" s="3">
        <f>HistoricalData[[#This Row],[staff_plan]]-HistoricalData[[#This Row],[staff_fact]]</f>
        <v>1</v>
      </c>
      <c r="I173" s="5">
        <v>3.73E-2</v>
      </c>
      <c r="J173" s="5"/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42</v>
      </c>
      <c r="S173" s="3">
        <v>14</v>
      </c>
      <c r="T173" s="5">
        <v>6.59E-2</v>
      </c>
      <c r="U173" s="5">
        <v>0.36120000000000002</v>
      </c>
      <c r="V173" s="3">
        <v>6</v>
      </c>
      <c r="W173" s="3">
        <v>91</v>
      </c>
      <c r="X173" s="3">
        <v>252</v>
      </c>
    </row>
    <row r="174" spans="1:24">
      <c r="A174" s="3" t="s">
        <v>52</v>
      </c>
      <c r="B174" s="3">
        <v>2025</v>
      </c>
      <c r="C174" s="3">
        <v>5</v>
      </c>
      <c r="D174" s="3" t="s">
        <v>63</v>
      </c>
      <c r="E174" s="4" t="b">
        <v>0</v>
      </c>
      <c r="F174" s="3">
        <v>125</v>
      </c>
      <c r="G174" s="3">
        <v>123</v>
      </c>
      <c r="H174" s="3">
        <f>HistoricalData[[#This Row],[staff_plan]]-HistoricalData[[#This Row],[staff_fact]]</f>
        <v>2</v>
      </c>
      <c r="I174" s="5">
        <v>4.1099999999999998E-2</v>
      </c>
      <c r="J174" s="5"/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42</v>
      </c>
      <c r="S174" s="3">
        <v>14</v>
      </c>
      <c r="T174" s="5">
        <v>7.5899999999999995E-2</v>
      </c>
      <c r="U174" s="5">
        <v>0.34179999999999999</v>
      </c>
      <c r="V174" s="3">
        <v>4</v>
      </c>
      <c r="W174" s="3">
        <v>53</v>
      </c>
      <c r="X174" s="3">
        <v>155</v>
      </c>
    </row>
    <row r="175" spans="1:24">
      <c r="A175" s="3" t="s">
        <v>53</v>
      </c>
      <c r="B175" s="3">
        <v>2025</v>
      </c>
      <c r="C175" s="3">
        <v>6</v>
      </c>
      <c r="D175" s="3" t="s">
        <v>63</v>
      </c>
      <c r="E175" s="4" t="b">
        <v>0</v>
      </c>
      <c r="F175" s="3">
        <v>125</v>
      </c>
      <c r="G175" s="3">
        <v>123</v>
      </c>
      <c r="H175" s="3">
        <f>HistoricalData[[#This Row],[staff_plan]]-HistoricalData[[#This Row],[staff_fact]]</f>
        <v>2</v>
      </c>
      <c r="I175" s="5">
        <v>4.7500000000000001E-2</v>
      </c>
      <c r="J175" s="5"/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42</v>
      </c>
      <c r="S175" s="3">
        <v>14</v>
      </c>
      <c r="T175" s="5">
        <v>7.7799999999999994E-2</v>
      </c>
      <c r="U175" s="5">
        <v>0.34560000000000002</v>
      </c>
      <c r="V175" s="3">
        <v>6</v>
      </c>
      <c r="W175" s="3">
        <v>77</v>
      </c>
      <c r="X175" s="3">
        <v>223</v>
      </c>
    </row>
    <row r="176" spans="1:24">
      <c r="A176" s="3" t="s">
        <v>54</v>
      </c>
      <c r="B176" s="3">
        <v>2025</v>
      </c>
      <c r="C176" s="3">
        <v>7</v>
      </c>
      <c r="D176" s="3" t="s">
        <v>63</v>
      </c>
      <c r="E176" s="4" t="b">
        <v>0</v>
      </c>
      <c r="F176" s="3">
        <v>125</v>
      </c>
      <c r="G176" s="3">
        <v>124</v>
      </c>
      <c r="H176" s="3">
        <f>HistoricalData[[#This Row],[staff_plan]]-HistoricalData[[#This Row],[staff_fact]]</f>
        <v>1</v>
      </c>
      <c r="I176" s="5">
        <v>4.87E-2</v>
      </c>
      <c r="J176" s="5"/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42</v>
      </c>
      <c r="S176" s="3">
        <v>14</v>
      </c>
      <c r="T176" s="5">
        <v>5.9200000000000003E-2</v>
      </c>
      <c r="U176" s="5">
        <v>0.37969999999999998</v>
      </c>
      <c r="V176" s="3">
        <v>7</v>
      </c>
      <c r="W176" s="3">
        <v>118</v>
      </c>
      <c r="X176" s="3">
        <v>311</v>
      </c>
    </row>
    <row r="177" spans="1:24">
      <c r="A177" s="3" t="s">
        <v>55</v>
      </c>
      <c r="B177" s="3">
        <v>2025</v>
      </c>
      <c r="C177" s="3">
        <v>8</v>
      </c>
      <c r="D177" s="3" t="s">
        <v>63</v>
      </c>
      <c r="E177" s="4" t="b">
        <v>0</v>
      </c>
      <c r="F177" s="3">
        <v>125</v>
      </c>
      <c r="G177" s="3">
        <v>123</v>
      </c>
      <c r="H177" s="3">
        <f>HistoricalData[[#This Row],[staff_plan]]-HistoricalData[[#This Row],[staff_fact]]</f>
        <v>2</v>
      </c>
      <c r="I177" s="5">
        <v>4.4699999999999997E-2</v>
      </c>
      <c r="J177" s="5"/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42</v>
      </c>
      <c r="S177" s="3">
        <v>14</v>
      </c>
      <c r="T177" s="5">
        <v>6.5500000000000003E-2</v>
      </c>
      <c r="U177" s="5">
        <v>0.38640000000000002</v>
      </c>
      <c r="V177" s="3">
        <v>5</v>
      </c>
      <c r="W177" s="3">
        <v>76</v>
      </c>
      <c r="X177" s="3">
        <v>197</v>
      </c>
    </row>
    <row r="178" spans="1:24">
      <c r="A178" s="3" t="s">
        <v>56</v>
      </c>
      <c r="B178" s="3">
        <v>2025</v>
      </c>
      <c r="C178" s="3">
        <v>9</v>
      </c>
      <c r="D178" s="3" t="s">
        <v>63</v>
      </c>
      <c r="E178" s="4" t="b">
        <v>0</v>
      </c>
      <c r="F178" s="3">
        <v>126</v>
      </c>
      <c r="G178" s="3">
        <v>122</v>
      </c>
      <c r="H178" s="3">
        <f>HistoricalData[[#This Row],[staff_plan]]-HistoricalData[[#This Row],[staff_fact]]</f>
        <v>4</v>
      </c>
      <c r="I178" s="5">
        <v>4.53E-2</v>
      </c>
      <c r="J178" s="5"/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42</v>
      </c>
      <c r="S178" s="3">
        <v>14</v>
      </c>
      <c r="T178" s="5">
        <v>5.6300000000000003E-2</v>
      </c>
      <c r="U178" s="5">
        <v>0.3821</v>
      </c>
      <c r="V178" s="3">
        <v>5</v>
      </c>
      <c r="W178" s="3">
        <v>89</v>
      </c>
      <c r="X178" s="3">
        <v>233</v>
      </c>
    </row>
    <row r="179" spans="1:24">
      <c r="A179" s="3" t="s">
        <v>57</v>
      </c>
      <c r="B179" s="3">
        <v>2025</v>
      </c>
      <c r="C179" s="3">
        <v>10</v>
      </c>
      <c r="D179" s="3" t="s">
        <v>63</v>
      </c>
      <c r="E179" s="4" t="b">
        <v>0</v>
      </c>
      <c r="F179" s="3">
        <v>126</v>
      </c>
      <c r="G179" s="3">
        <v>125</v>
      </c>
      <c r="H179" s="3">
        <f>HistoricalData[[#This Row],[staff_plan]]-HistoricalData[[#This Row],[staff_fact]]</f>
        <v>1</v>
      </c>
      <c r="I179" s="5">
        <v>4.1500000000000002E-2</v>
      </c>
      <c r="J179" s="5"/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42</v>
      </c>
      <c r="S179" s="3">
        <v>14</v>
      </c>
      <c r="T179" s="5">
        <v>8.8300000000000003E-2</v>
      </c>
      <c r="U179" s="5">
        <v>0.3493</v>
      </c>
      <c r="V179" s="3">
        <v>8</v>
      </c>
      <c r="W179" s="3">
        <v>91</v>
      </c>
      <c r="X179" s="3">
        <v>260</v>
      </c>
    </row>
    <row r="180" spans="1:24">
      <c r="A180" s="3" t="s">
        <v>58</v>
      </c>
      <c r="B180" s="3">
        <v>2025</v>
      </c>
      <c r="C180" s="3">
        <v>11</v>
      </c>
      <c r="D180" s="3" t="s">
        <v>63</v>
      </c>
      <c r="E180" s="4" t="b">
        <v>0</v>
      </c>
      <c r="F180" s="3">
        <v>126</v>
      </c>
      <c r="G180" s="3">
        <v>125</v>
      </c>
      <c r="H180" s="3">
        <f>HistoricalData[[#This Row],[staff_plan]]-HistoricalData[[#This Row],[staff_fact]]</f>
        <v>1</v>
      </c>
      <c r="I180" s="5">
        <v>3.4000000000000002E-2</v>
      </c>
      <c r="J180" s="5"/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42</v>
      </c>
      <c r="S180" s="3">
        <v>14</v>
      </c>
      <c r="T180" s="5">
        <v>7.6499999999999999E-2</v>
      </c>
      <c r="U180" s="5">
        <v>0.36890000000000001</v>
      </c>
      <c r="V180" s="3">
        <v>4</v>
      </c>
      <c r="W180" s="3">
        <v>52</v>
      </c>
      <c r="X180" s="3">
        <v>141</v>
      </c>
    </row>
    <row r="181" spans="1:24">
      <c r="A181" s="3" t="s">
        <v>59</v>
      </c>
      <c r="B181" s="3">
        <v>2025</v>
      </c>
      <c r="C181" s="3">
        <v>12</v>
      </c>
      <c r="D181" s="3" t="s">
        <v>63</v>
      </c>
      <c r="E181" s="4" t="b">
        <v>0</v>
      </c>
      <c r="F181" s="3">
        <v>126</v>
      </c>
      <c r="G181" s="3">
        <v>125</v>
      </c>
      <c r="H181" s="3">
        <f>HistoricalData[[#This Row],[staff_plan]]-HistoricalData[[#This Row],[staff_fact]]</f>
        <v>1</v>
      </c>
      <c r="I181" s="5">
        <v>2.9399999999999999E-2</v>
      </c>
      <c r="J181" s="5"/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42</v>
      </c>
      <c r="S181" s="3">
        <v>14</v>
      </c>
      <c r="T181" s="5">
        <v>7.6999999999999999E-2</v>
      </c>
      <c r="U181" s="5">
        <v>0.34560000000000002</v>
      </c>
      <c r="V181" s="3">
        <v>4</v>
      </c>
      <c r="W181" s="3">
        <v>52</v>
      </c>
      <c r="X181" s="3">
        <v>150</v>
      </c>
    </row>
  </sheetData>
  <conditionalFormatting sqref="H2:H181">
    <cfRule type="dataBar" priority="1">
      <dataBar>
        <cfvo type="min"/>
        <cfvo type="max"/>
        <color rgb="FFF59E0B"/>
      </dataBar>
    </cfRule>
  </conditionalFormatting>
  <conditionalFormatting sqref="H2:H181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{1E621495-3CD1-11E5-8F52-C8D2BF0DC103}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621495-3CD1-11E5-8F52-C8D2BF0DC103}">
            <x14:dataBar>
              <x14:cfvo type="min"/>
              <x14:cfvo type="max"/>
              <x14:negativeFillColor auto="1"/>
              <x14:axisColor auto="1"/>
            </x14:dataBar>
          </x14:cfRule>
          <xm:sqref>H2:H181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1"/>
  <sheetViews>
    <sheetView tabSelected="1" zoomScale="70" zoomScaleNormal="70" workbookViewId="0">
      <selection activeCell="G1" sqref="G1:H1048576"/>
    </sheetView>
  </sheetViews>
  <sheetFormatPr defaultRowHeight="14"/>
  <cols>
    <col min="1" max="1" width="11.83203125" customWidth="1"/>
    <col min="2" max="2" width="9.4140625" customWidth="1"/>
    <col min="3" max="3" width="12.25" customWidth="1"/>
    <col min="4" max="4" width="28" customWidth="1"/>
    <col min="5" max="6" width="16" customWidth="1"/>
    <col min="7" max="7" width="25.5" customWidth="1"/>
    <col min="8" max="8" width="23.9140625" customWidth="1"/>
    <col min="9" max="9" width="27.6640625" customWidth="1"/>
    <col min="10" max="10" width="25.6640625" customWidth="1"/>
    <col min="11" max="14" width="16" customWidth="1"/>
  </cols>
  <sheetData>
    <row r="1" spans="1:14" ht="21.4" customHeight="1">
      <c r="A1" s="1" t="s">
        <v>111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64</v>
      </c>
      <c r="H1" s="1" t="s">
        <v>14</v>
      </c>
      <c r="I1" s="1" t="s">
        <v>15</v>
      </c>
      <c r="J1" s="1" t="s">
        <v>65</v>
      </c>
      <c r="K1" s="1" t="s">
        <v>16</v>
      </c>
      <c r="L1" s="1" t="s">
        <v>17</v>
      </c>
      <c r="M1" s="1" t="s">
        <v>66</v>
      </c>
      <c r="N1" s="1" t="s">
        <v>67</v>
      </c>
    </row>
    <row r="2" spans="1:14">
      <c r="A2" s="3" t="s">
        <v>68</v>
      </c>
      <c r="B2" s="3">
        <v>2026</v>
      </c>
      <c r="C2" s="3">
        <v>1</v>
      </c>
      <c r="D2" s="3" t="s">
        <v>24</v>
      </c>
      <c r="E2" s="4" t="b">
        <v>1</v>
      </c>
      <c r="F2" s="3">
        <v>577</v>
      </c>
      <c r="G2" s="3">
        <v>2</v>
      </c>
      <c r="H2" s="3">
        <v>24</v>
      </c>
      <c r="I2" s="3">
        <v>70</v>
      </c>
      <c r="J2" s="3">
        <v>3</v>
      </c>
      <c r="K2" s="3">
        <v>28</v>
      </c>
      <c r="L2" s="3"/>
      <c r="M2" s="5">
        <v>0.105</v>
      </c>
      <c r="N2" s="5">
        <v>0.42</v>
      </c>
    </row>
    <row r="3" spans="1:14">
      <c r="A3" s="3" t="s">
        <v>69</v>
      </c>
      <c r="B3" s="3">
        <v>2026</v>
      </c>
      <c r="C3" s="3">
        <v>2</v>
      </c>
      <c r="D3" s="3" t="s">
        <v>24</v>
      </c>
      <c r="E3" s="4" t="b">
        <v>1</v>
      </c>
      <c r="F3" s="3">
        <v>577</v>
      </c>
      <c r="G3" s="3">
        <v>2</v>
      </c>
      <c r="H3" s="3">
        <v>24</v>
      </c>
      <c r="I3" s="3">
        <v>70</v>
      </c>
      <c r="J3" s="3">
        <v>3</v>
      </c>
      <c r="K3" s="3">
        <v>28</v>
      </c>
      <c r="L3" s="3"/>
      <c r="M3" s="5">
        <v>0.105</v>
      </c>
      <c r="N3" s="5">
        <v>0.42</v>
      </c>
    </row>
    <row r="4" spans="1:14">
      <c r="A4" s="3" t="s">
        <v>70</v>
      </c>
      <c r="B4" s="3">
        <v>2026</v>
      </c>
      <c r="C4" s="3">
        <v>3</v>
      </c>
      <c r="D4" s="3" t="s">
        <v>24</v>
      </c>
      <c r="E4" s="4" t="b">
        <v>1</v>
      </c>
      <c r="F4" s="3">
        <v>577</v>
      </c>
      <c r="G4" s="3">
        <v>2</v>
      </c>
      <c r="H4" s="3">
        <v>24</v>
      </c>
      <c r="I4" s="3">
        <v>70</v>
      </c>
      <c r="J4" s="3">
        <v>3</v>
      </c>
      <c r="K4" s="3">
        <v>28</v>
      </c>
      <c r="L4" s="3"/>
      <c r="M4" s="5">
        <v>0.105</v>
      </c>
      <c r="N4" s="5">
        <v>0.42</v>
      </c>
    </row>
    <row r="5" spans="1:14">
      <c r="A5" s="3" t="s">
        <v>71</v>
      </c>
      <c r="B5" s="3">
        <v>2026</v>
      </c>
      <c r="C5" s="3">
        <v>4</v>
      </c>
      <c r="D5" s="3" t="s">
        <v>24</v>
      </c>
      <c r="E5" s="4" t="b">
        <v>1</v>
      </c>
      <c r="F5" s="3">
        <v>577</v>
      </c>
      <c r="G5" s="3">
        <v>2</v>
      </c>
      <c r="H5" s="3">
        <v>24</v>
      </c>
      <c r="I5" s="3">
        <v>70</v>
      </c>
      <c r="J5" s="3">
        <v>3</v>
      </c>
      <c r="K5" s="3">
        <v>28</v>
      </c>
      <c r="L5" s="3"/>
      <c r="M5" s="5">
        <v>0.105</v>
      </c>
      <c r="N5" s="5">
        <v>0.42</v>
      </c>
    </row>
    <row r="6" spans="1:14">
      <c r="A6" s="3" t="s">
        <v>72</v>
      </c>
      <c r="B6" s="3">
        <v>2026</v>
      </c>
      <c r="C6" s="3">
        <v>5</v>
      </c>
      <c r="D6" s="3" t="s">
        <v>24</v>
      </c>
      <c r="E6" s="4" t="b">
        <v>1</v>
      </c>
      <c r="F6" s="3">
        <v>577</v>
      </c>
      <c r="G6" s="3">
        <v>2</v>
      </c>
      <c r="H6" s="3">
        <v>24</v>
      </c>
      <c r="I6" s="3">
        <v>70</v>
      </c>
      <c r="J6" s="3">
        <v>3</v>
      </c>
      <c r="K6" s="3">
        <v>28</v>
      </c>
      <c r="L6" s="3"/>
      <c r="M6" s="5">
        <v>0.105</v>
      </c>
      <c r="N6" s="5">
        <v>0.42</v>
      </c>
    </row>
    <row r="7" spans="1:14">
      <c r="A7" s="3" t="s">
        <v>73</v>
      </c>
      <c r="B7" s="3">
        <v>2026</v>
      </c>
      <c r="C7" s="3">
        <v>6</v>
      </c>
      <c r="D7" s="3" t="s">
        <v>24</v>
      </c>
      <c r="E7" s="4" t="b">
        <v>1</v>
      </c>
      <c r="F7" s="3">
        <v>577</v>
      </c>
      <c r="G7" s="3">
        <v>2</v>
      </c>
      <c r="H7" s="3">
        <v>24</v>
      </c>
      <c r="I7" s="3">
        <v>70</v>
      </c>
      <c r="J7" s="3">
        <v>3</v>
      </c>
      <c r="K7" s="3">
        <v>28</v>
      </c>
      <c r="L7" s="3"/>
      <c r="M7" s="5">
        <v>0.105</v>
      </c>
      <c r="N7" s="5">
        <v>0.42</v>
      </c>
    </row>
    <row r="8" spans="1:14">
      <c r="A8" s="3" t="s">
        <v>74</v>
      </c>
      <c r="B8" s="3">
        <v>2026</v>
      </c>
      <c r="C8" s="3">
        <v>7</v>
      </c>
      <c r="D8" s="3" t="s">
        <v>24</v>
      </c>
      <c r="E8" s="4" t="b">
        <v>1</v>
      </c>
      <c r="F8" s="3">
        <v>577</v>
      </c>
      <c r="G8" s="3">
        <v>2</v>
      </c>
      <c r="H8" s="3">
        <v>24</v>
      </c>
      <c r="I8" s="3">
        <v>70</v>
      </c>
      <c r="J8" s="3">
        <v>3</v>
      </c>
      <c r="K8" s="3">
        <v>28</v>
      </c>
      <c r="L8" s="3"/>
      <c r="M8" s="5">
        <v>0.105</v>
      </c>
      <c r="N8" s="5">
        <v>0.42</v>
      </c>
    </row>
    <row r="9" spans="1:14">
      <c r="A9" s="3" t="s">
        <v>75</v>
      </c>
      <c r="B9" s="3">
        <v>2026</v>
      </c>
      <c r="C9" s="3">
        <v>8</v>
      </c>
      <c r="D9" s="3" t="s">
        <v>24</v>
      </c>
      <c r="E9" s="4" t="b">
        <v>1</v>
      </c>
      <c r="F9" s="3">
        <v>578</v>
      </c>
      <c r="G9" s="3">
        <v>2</v>
      </c>
      <c r="H9" s="3">
        <v>24</v>
      </c>
      <c r="I9" s="3">
        <v>70</v>
      </c>
      <c r="J9" s="3">
        <v>3</v>
      </c>
      <c r="K9" s="3">
        <v>28</v>
      </c>
      <c r="L9" s="3"/>
      <c r="M9" s="5">
        <v>0.105</v>
      </c>
      <c r="N9" s="5">
        <v>0.42</v>
      </c>
    </row>
    <row r="10" spans="1:14">
      <c r="A10" s="3" t="s">
        <v>76</v>
      </c>
      <c r="B10" s="3">
        <v>2026</v>
      </c>
      <c r="C10" s="3">
        <v>9</v>
      </c>
      <c r="D10" s="3" t="s">
        <v>24</v>
      </c>
      <c r="E10" s="4" t="b">
        <v>1</v>
      </c>
      <c r="F10" s="3">
        <v>578</v>
      </c>
      <c r="G10" s="3">
        <v>1</v>
      </c>
      <c r="H10" s="3">
        <v>24</v>
      </c>
      <c r="I10" s="3">
        <v>70</v>
      </c>
      <c r="J10" s="3">
        <v>3</v>
      </c>
      <c r="K10" s="3">
        <v>28</v>
      </c>
      <c r="L10" s="3"/>
      <c r="M10" s="5">
        <v>0.105</v>
      </c>
      <c r="N10" s="5">
        <v>0.42</v>
      </c>
    </row>
    <row r="11" spans="1:14">
      <c r="A11" s="3" t="s">
        <v>77</v>
      </c>
      <c r="B11" s="3">
        <v>2026</v>
      </c>
      <c r="C11" s="3">
        <v>10</v>
      </c>
      <c r="D11" s="3" t="s">
        <v>24</v>
      </c>
      <c r="E11" s="4" t="b">
        <v>1</v>
      </c>
      <c r="F11" s="3">
        <v>578</v>
      </c>
      <c r="G11" s="3">
        <v>1</v>
      </c>
      <c r="H11" s="3">
        <v>24</v>
      </c>
      <c r="I11" s="3">
        <v>70</v>
      </c>
      <c r="J11" s="3">
        <v>3</v>
      </c>
      <c r="K11" s="3">
        <v>28</v>
      </c>
      <c r="L11" s="3"/>
      <c r="M11" s="5">
        <v>0.105</v>
      </c>
      <c r="N11" s="5">
        <v>0.42</v>
      </c>
    </row>
    <row r="12" spans="1:14">
      <c r="A12" s="3" t="s">
        <v>78</v>
      </c>
      <c r="B12" s="3">
        <v>2026</v>
      </c>
      <c r="C12" s="3">
        <v>11</v>
      </c>
      <c r="D12" s="3" t="s">
        <v>24</v>
      </c>
      <c r="E12" s="4" t="b">
        <v>1</v>
      </c>
      <c r="F12" s="3">
        <v>578</v>
      </c>
      <c r="G12" s="3">
        <v>1</v>
      </c>
      <c r="H12" s="3">
        <v>24</v>
      </c>
      <c r="I12" s="3">
        <v>70</v>
      </c>
      <c r="J12" s="3">
        <v>3</v>
      </c>
      <c r="K12" s="3">
        <v>28</v>
      </c>
      <c r="L12" s="3"/>
      <c r="M12" s="5">
        <v>0.105</v>
      </c>
      <c r="N12" s="5">
        <v>0.42</v>
      </c>
    </row>
    <row r="13" spans="1:14">
      <c r="A13" s="3" t="s">
        <v>79</v>
      </c>
      <c r="B13" s="3">
        <v>2026</v>
      </c>
      <c r="C13" s="3">
        <v>12</v>
      </c>
      <c r="D13" s="3" t="s">
        <v>24</v>
      </c>
      <c r="E13" s="4" t="b">
        <v>1</v>
      </c>
      <c r="F13" s="3">
        <v>578</v>
      </c>
      <c r="G13" s="3">
        <v>1</v>
      </c>
      <c r="H13" s="3">
        <v>24</v>
      </c>
      <c r="I13" s="3">
        <v>70</v>
      </c>
      <c r="J13" s="3">
        <v>3</v>
      </c>
      <c r="K13" s="3">
        <v>28</v>
      </c>
      <c r="L13" s="3"/>
      <c r="M13" s="5">
        <v>0.105</v>
      </c>
      <c r="N13" s="5">
        <v>0.42</v>
      </c>
    </row>
    <row r="14" spans="1:14">
      <c r="A14" s="3" t="s">
        <v>68</v>
      </c>
      <c r="B14" s="3">
        <v>2026</v>
      </c>
      <c r="C14" s="3">
        <v>1</v>
      </c>
      <c r="D14" s="3" t="s">
        <v>60</v>
      </c>
      <c r="E14" s="4" t="b">
        <v>1</v>
      </c>
      <c r="F14" s="3">
        <v>248</v>
      </c>
      <c r="G14" s="3">
        <v>2</v>
      </c>
      <c r="H14" s="3">
        <v>18</v>
      </c>
      <c r="I14" s="3">
        <v>45</v>
      </c>
      <c r="J14" s="3">
        <v>3</v>
      </c>
      <c r="K14" s="3">
        <v>30</v>
      </c>
      <c r="L14" s="3"/>
      <c r="M14" s="5">
        <v>0.12</v>
      </c>
      <c r="N14" s="5">
        <v>0.46</v>
      </c>
    </row>
    <row r="15" spans="1:14">
      <c r="A15" s="3" t="s">
        <v>69</v>
      </c>
      <c r="B15" s="3">
        <v>2026</v>
      </c>
      <c r="C15" s="3">
        <v>2</v>
      </c>
      <c r="D15" s="3" t="s">
        <v>60</v>
      </c>
      <c r="E15" s="4" t="b">
        <v>1</v>
      </c>
      <c r="F15" s="3">
        <v>248</v>
      </c>
      <c r="G15" s="3">
        <v>2</v>
      </c>
      <c r="H15" s="3">
        <v>18</v>
      </c>
      <c r="I15" s="3">
        <v>45</v>
      </c>
      <c r="J15" s="3">
        <v>3</v>
      </c>
      <c r="K15" s="3">
        <v>30</v>
      </c>
      <c r="L15" s="3"/>
      <c r="M15" s="5">
        <v>0.12</v>
      </c>
      <c r="N15" s="5">
        <v>0.46</v>
      </c>
    </row>
    <row r="16" spans="1:14">
      <c r="A16" s="3" t="s">
        <v>70</v>
      </c>
      <c r="B16" s="3">
        <v>2026</v>
      </c>
      <c r="C16" s="3">
        <v>3</v>
      </c>
      <c r="D16" s="3" t="s">
        <v>60</v>
      </c>
      <c r="E16" s="4" t="b">
        <v>1</v>
      </c>
      <c r="F16" s="3">
        <v>248</v>
      </c>
      <c r="G16" s="3">
        <v>2</v>
      </c>
      <c r="H16" s="3">
        <v>18</v>
      </c>
      <c r="I16" s="3">
        <v>45</v>
      </c>
      <c r="J16" s="3">
        <v>3</v>
      </c>
      <c r="K16" s="3">
        <v>30</v>
      </c>
      <c r="L16" s="3"/>
      <c r="M16" s="5">
        <v>0.12</v>
      </c>
      <c r="N16" s="5">
        <v>0.46</v>
      </c>
    </row>
    <row r="17" spans="1:14">
      <c r="A17" s="3" t="s">
        <v>71</v>
      </c>
      <c r="B17" s="3">
        <v>2026</v>
      </c>
      <c r="C17" s="3">
        <v>4</v>
      </c>
      <c r="D17" s="3" t="s">
        <v>60</v>
      </c>
      <c r="E17" s="4" t="b">
        <v>1</v>
      </c>
      <c r="F17" s="3">
        <v>248</v>
      </c>
      <c r="G17" s="3">
        <v>2</v>
      </c>
      <c r="H17" s="3">
        <v>18</v>
      </c>
      <c r="I17" s="3">
        <v>45</v>
      </c>
      <c r="J17" s="3">
        <v>3</v>
      </c>
      <c r="K17" s="3">
        <v>30</v>
      </c>
      <c r="L17" s="3"/>
      <c r="M17" s="5">
        <v>0.12</v>
      </c>
      <c r="N17" s="5">
        <v>0.46</v>
      </c>
    </row>
    <row r="18" spans="1:14">
      <c r="A18" s="3" t="s">
        <v>72</v>
      </c>
      <c r="B18" s="3">
        <v>2026</v>
      </c>
      <c r="C18" s="3">
        <v>5</v>
      </c>
      <c r="D18" s="3" t="s">
        <v>60</v>
      </c>
      <c r="E18" s="4" t="b">
        <v>1</v>
      </c>
      <c r="F18" s="3">
        <v>248</v>
      </c>
      <c r="G18" s="3">
        <v>2</v>
      </c>
      <c r="H18" s="3">
        <v>18</v>
      </c>
      <c r="I18" s="3">
        <v>45</v>
      </c>
      <c r="J18" s="3">
        <v>3</v>
      </c>
      <c r="K18" s="3">
        <v>30</v>
      </c>
      <c r="L18" s="3"/>
      <c r="M18" s="5">
        <v>0.12</v>
      </c>
      <c r="N18" s="5">
        <v>0.46</v>
      </c>
    </row>
    <row r="19" spans="1:14">
      <c r="A19" s="3" t="s">
        <v>73</v>
      </c>
      <c r="B19" s="3">
        <v>2026</v>
      </c>
      <c r="C19" s="3">
        <v>6</v>
      </c>
      <c r="D19" s="3" t="s">
        <v>60</v>
      </c>
      <c r="E19" s="4" t="b">
        <v>1</v>
      </c>
      <c r="F19" s="3">
        <v>248</v>
      </c>
      <c r="G19" s="3">
        <v>2</v>
      </c>
      <c r="H19" s="3">
        <v>18</v>
      </c>
      <c r="I19" s="3">
        <v>45</v>
      </c>
      <c r="J19" s="3">
        <v>3</v>
      </c>
      <c r="K19" s="3">
        <v>30</v>
      </c>
      <c r="L19" s="3"/>
      <c r="M19" s="5">
        <v>0.12</v>
      </c>
      <c r="N19" s="5">
        <v>0.46</v>
      </c>
    </row>
    <row r="20" spans="1:14">
      <c r="A20" s="3" t="s">
        <v>74</v>
      </c>
      <c r="B20" s="3">
        <v>2026</v>
      </c>
      <c r="C20" s="3">
        <v>7</v>
      </c>
      <c r="D20" s="3" t="s">
        <v>60</v>
      </c>
      <c r="E20" s="4" t="b">
        <v>1</v>
      </c>
      <c r="F20" s="3">
        <v>249</v>
      </c>
      <c r="G20" s="3">
        <v>2</v>
      </c>
      <c r="H20" s="3">
        <v>18</v>
      </c>
      <c r="I20" s="3">
        <v>45</v>
      </c>
      <c r="J20" s="3">
        <v>3</v>
      </c>
      <c r="K20" s="3">
        <v>30</v>
      </c>
      <c r="L20" s="3"/>
      <c r="M20" s="5">
        <v>0.12</v>
      </c>
      <c r="N20" s="5">
        <v>0.46</v>
      </c>
    </row>
    <row r="21" spans="1:14">
      <c r="A21" s="3" t="s">
        <v>75</v>
      </c>
      <c r="B21" s="3">
        <v>2026</v>
      </c>
      <c r="C21" s="3">
        <v>8</v>
      </c>
      <c r="D21" s="3" t="s">
        <v>60</v>
      </c>
      <c r="E21" s="4" t="b">
        <v>1</v>
      </c>
      <c r="F21" s="3">
        <v>249</v>
      </c>
      <c r="G21" s="3">
        <v>2</v>
      </c>
      <c r="H21" s="3">
        <v>18</v>
      </c>
      <c r="I21" s="3">
        <v>45</v>
      </c>
      <c r="J21" s="3">
        <v>3</v>
      </c>
      <c r="K21" s="3">
        <v>30</v>
      </c>
      <c r="L21" s="3"/>
      <c r="M21" s="5">
        <v>0.12</v>
      </c>
      <c r="N21" s="5">
        <v>0.46</v>
      </c>
    </row>
    <row r="22" spans="1:14">
      <c r="A22" s="3" t="s">
        <v>76</v>
      </c>
      <c r="B22" s="3">
        <v>2026</v>
      </c>
      <c r="C22" s="3">
        <v>9</v>
      </c>
      <c r="D22" s="3" t="s">
        <v>60</v>
      </c>
      <c r="E22" s="4" t="b">
        <v>1</v>
      </c>
      <c r="F22" s="3">
        <v>249</v>
      </c>
      <c r="G22" s="3">
        <v>1</v>
      </c>
      <c r="H22" s="3">
        <v>18</v>
      </c>
      <c r="I22" s="3">
        <v>45</v>
      </c>
      <c r="J22" s="3">
        <v>3</v>
      </c>
      <c r="K22" s="3">
        <v>30</v>
      </c>
      <c r="L22" s="3"/>
      <c r="M22" s="5">
        <v>0.12</v>
      </c>
      <c r="N22" s="5">
        <v>0.46</v>
      </c>
    </row>
    <row r="23" spans="1:14">
      <c r="A23" s="3" t="s">
        <v>77</v>
      </c>
      <c r="B23" s="3">
        <v>2026</v>
      </c>
      <c r="C23" s="3">
        <v>10</v>
      </c>
      <c r="D23" s="3" t="s">
        <v>60</v>
      </c>
      <c r="E23" s="4" t="b">
        <v>1</v>
      </c>
      <c r="F23" s="3">
        <v>249</v>
      </c>
      <c r="G23" s="3">
        <v>1</v>
      </c>
      <c r="H23" s="3">
        <v>18</v>
      </c>
      <c r="I23" s="3">
        <v>45</v>
      </c>
      <c r="J23" s="3">
        <v>3</v>
      </c>
      <c r="K23" s="3">
        <v>30</v>
      </c>
      <c r="L23" s="3"/>
      <c r="M23" s="5">
        <v>0.12</v>
      </c>
      <c r="N23" s="5">
        <v>0.46</v>
      </c>
    </row>
    <row r="24" spans="1:14">
      <c r="A24" s="3" t="s">
        <v>78</v>
      </c>
      <c r="B24" s="3">
        <v>2026</v>
      </c>
      <c r="C24" s="3">
        <v>11</v>
      </c>
      <c r="D24" s="3" t="s">
        <v>60</v>
      </c>
      <c r="E24" s="4" t="b">
        <v>1</v>
      </c>
      <c r="F24" s="3">
        <v>249</v>
      </c>
      <c r="G24" s="3">
        <v>1</v>
      </c>
      <c r="H24" s="3">
        <v>18</v>
      </c>
      <c r="I24" s="3">
        <v>45</v>
      </c>
      <c r="J24" s="3">
        <v>3</v>
      </c>
      <c r="K24" s="3">
        <v>30</v>
      </c>
      <c r="L24" s="3"/>
      <c r="M24" s="5">
        <v>0.12</v>
      </c>
      <c r="N24" s="5">
        <v>0.46</v>
      </c>
    </row>
    <row r="25" spans="1:14">
      <c r="A25" s="3" t="s">
        <v>79</v>
      </c>
      <c r="B25" s="3">
        <v>2026</v>
      </c>
      <c r="C25" s="3">
        <v>12</v>
      </c>
      <c r="D25" s="3" t="s">
        <v>60</v>
      </c>
      <c r="E25" s="4" t="b">
        <v>1</v>
      </c>
      <c r="F25" s="3">
        <v>249</v>
      </c>
      <c r="G25" s="3">
        <v>1</v>
      </c>
      <c r="H25" s="3">
        <v>18</v>
      </c>
      <c r="I25" s="3">
        <v>45</v>
      </c>
      <c r="J25" s="3">
        <v>3</v>
      </c>
      <c r="K25" s="3">
        <v>30</v>
      </c>
      <c r="L25" s="3"/>
      <c r="M25" s="5">
        <v>0.12</v>
      </c>
      <c r="N25" s="5">
        <v>0.46</v>
      </c>
    </row>
    <row r="26" spans="1:14">
      <c r="A26" s="3" t="s">
        <v>68</v>
      </c>
      <c r="B26" s="3">
        <v>2026</v>
      </c>
      <c r="C26" s="3">
        <v>1</v>
      </c>
      <c r="D26" s="3" t="s">
        <v>61</v>
      </c>
      <c r="E26" s="4" t="b">
        <v>0</v>
      </c>
      <c r="F26" s="3">
        <v>104</v>
      </c>
      <c r="G26" s="3">
        <v>0</v>
      </c>
      <c r="H26" s="3">
        <v>0</v>
      </c>
      <c r="I26" s="3">
        <v>0</v>
      </c>
      <c r="J26" s="3">
        <v>0</v>
      </c>
      <c r="K26" s="3">
        <v>45</v>
      </c>
      <c r="L26" s="3">
        <v>15</v>
      </c>
      <c r="M26" s="5">
        <v>8.5000000000000006E-2</v>
      </c>
      <c r="N26" s="5">
        <v>0.38</v>
      </c>
    </row>
    <row r="27" spans="1:14">
      <c r="A27" s="3" t="s">
        <v>69</v>
      </c>
      <c r="B27" s="3">
        <v>2026</v>
      </c>
      <c r="C27" s="3">
        <v>2</v>
      </c>
      <c r="D27" s="3" t="s">
        <v>61</v>
      </c>
      <c r="E27" s="4" t="b">
        <v>0</v>
      </c>
      <c r="F27" s="3">
        <v>104</v>
      </c>
      <c r="G27" s="3">
        <v>0</v>
      </c>
      <c r="H27" s="3">
        <v>0</v>
      </c>
      <c r="I27" s="3">
        <v>0</v>
      </c>
      <c r="J27" s="3">
        <v>0</v>
      </c>
      <c r="K27" s="3">
        <v>45</v>
      </c>
      <c r="L27" s="3">
        <v>15</v>
      </c>
      <c r="M27" s="5">
        <v>8.5000000000000006E-2</v>
      </c>
      <c r="N27" s="5">
        <v>0.38</v>
      </c>
    </row>
    <row r="28" spans="1:14">
      <c r="A28" s="3" t="s">
        <v>70</v>
      </c>
      <c r="B28" s="3">
        <v>2026</v>
      </c>
      <c r="C28" s="3">
        <v>3</v>
      </c>
      <c r="D28" s="3" t="s">
        <v>61</v>
      </c>
      <c r="E28" s="4" t="b">
        <v>0</v>
      </c>
      <c r="F28" s="3">
        <v>104</v>
      </c>
      <c r="G28" s="3">
        <v>0</v>
      </c>
      <c r="H28" s="3">
        <v>0</v>
      </c>
      <c r="I28" s="3">
        <v>0</v>
      </c>
      <c r="J28" s="3">
        <v>0</v>
      </c>
      <c r="K28" s="3">
        <v>45</v>
      </c>
      <c r="L28" s="3">
        <v>15</v>
      </c>
      <c r="M28" s="5">
        <v>8.5000000000000006E-2</v>
      </c>
      <c r="N28" s="5">
        <v>0.38</v>
      </c>
    </row>
    <row r="29" spans="1:14">
      <c r="A29" s="3" t="s">
        <v>71</v>
      </c>
      <c r="B29" s="3">
        <v>2026</v>
      </c>
      <c r="C29" s="3">
        <v>4</v>
      </c>
      <c r="D29" s="3" t="s">
        <v>61</v>
      </c>
      <c r="E29" s="4" t="b">
        <v>0</v>
      </c>
      <c r="F29" s="3">
        <v>104</v>
      </c>
      <c r="G29" s="3">
        <v>0</v>
      </c>
      <c r="H29" s="3">
        <v>0</v>
      </c>
      <c r="I29" s="3">
        <v>0</v>
      </c>
      <c r="J29" s="3">
        <v>0</v>
      </c>
      <c r="K29" s="3">
        <v>45</v>
      </c>
      <c r="L29" s="3">
        <v>15</v>
      </c>
      <c r="M29" s="5">
        <v>8.5000000000000006E-2</v>
      </c>
      <c r="N29" s="5">
        <v>0.38</v>
      </c>
    </row>
    <row r="30" spans="1:14">
      <c r="A30" s="3" t="s">
        <v>72</v>
      </c>
      <c r="B30" s="3">
        <v>2026</v>
      </c>
      <c r="C30" s="3">
        <v>5</v>
      </c>
      <c r="D30" s="3" t="s">
        <v>61</v>
      </c>
      <c r="E30" s="4" t="b">
        <v>0</v>
      </c>
      <c r="F30" s="3">
        <v>104</v>
      </c>
      <c r="G30" s="3">
        <v>0</v>
      </c>
      <c r="H30" s="3">
        <v>0</v>
      </c>
      <c r="I30" s="3">
        <v>0</v>
      </c>
      <c r="J30" s="3">
        <v>0</v>
      </c>
      <c r="K30" s="3">
        <v>45</v>
      </c>
      <c r="L30" s="3">
        <v>15</v>
      </c>
      <c r="M30" s="5">
        <v>8.5000000000000006E-2</v>
      </c>
      <c r="N30" s="5">
        <v>0.38</v>
      </c>
    </row>
    <row r="31" spans="1:14">
      <c r="A31" s="3" t="s">
        <v>73</v>
      </c>
      <c r="B31" s="3">
        <v>2026</v>
      </c>
      <c r="C31" s="3">
        <v>6</v>
      </c>
      <c r="D31" s="3" t="s">
        <v>61</v>
      </c>
      <c r="E31" s="4" t="b">
        <v>0</v>
      </c>
      <c r="F31" s="3">
        <v>105</v>
      </c>
      <c r="G31" s="3">
        <v>0</v>
      </c>
      <c r="H31" s="3">
        <v>0</v>
      </c>
      <c r="I31" s="3">
        <v>0</v>
      </c>
      <c r="J31" s="3">
        <v>0</v>
      </c>
      <c r="K31" s="3">
        <v>45</v>
      </c>
      <c r="L31" s="3">
        <v>15</v>
      </c>
      <c r="M31" s="5">
        <v>8.5000000000000006E-2</v>
      </c>
      <c r="N31" s="5">
        <v>0.38</v>
      </c>
    </row>
    <row r="32" spans="1:14">
      <c r="A32" s="3" t="s">
        <v>74</v>
      </c>
      <c r="B32" s="3">
        <v>2026</v>
      </c>
      <c r="C32" s="3">
        <v>7</v>
      </c>
      <c r="D32" s="3" t="s">
        <v>61</v>
      </c>
      <c r="E32" s="4" t="b">
        <v>0</v>
      </c>
      <c r="F32" s="3">
        <v>105</v>
      </c>
      <c r="G32" s="3">
        <v>0</v>
      </c>
      <c r="H32" s="3">
        <v>0</v>
      </c>
      <c r="I32" s="3">
        <v>0</v>
      </c>
      <c r="J32" s="3">
        <v>0</v>
      </c>
      <c r="K32" s="3">
        <v>45</v>
      </c>
      <c r="L32" s="3">
        <v>15</v>
      </c>
      <c r="M32" s="5">
        <v>8.5000000000000006E-2</v>
      </c>
      <c r="N32" s="5">
        <v>0.38</v>
      </c>
    </row>
    <row r="33" spans="1:14">
      <c r="A33" s="3" t="s">
        <v>75</v>
      </c>
      <c r="B33" s="3">
        <v>2026</v>
      </c>
      <c r="C33" s="3">
        <v>8</v>
      </c>
      <c r="D33" s="3" t="s">
        <v>61</v>
      </c>
      <c r="E33" s="4" t="b">
        <v>0</v>
      </c>
      <c r="F33" s="3">
        <v>105</v>
      </c>
      <c r="G33" s="3">
        <v>0</v>
      </c>
      <c r="H33" s="3">
        <v>0</v>
      </c>
      <c r="I33" s="3">
        <v>0</v>
      </c>
      <c r="J33" s="3">
        <v>0</v>
      </c>
      <c r="K33" s="3">
        <v>45</v>
      </c>
      <c r="L33" s="3">
        <v>15</v>
      </c>
      <c r="M33" s="5">
        <v>8.5000000000000006E-2</v>
      </c>
      <c r="N33" s="5">
        <v>0.38</v>
      </c>
    </row>
    <row r="34" spans="1:14">
      <c r="A34" s="3" t="s">
        <v>76</v>
      </c>
      <c r="B34" s="3">
        <v>2026</v>
      </c>
      <c r="C34" s="3">
        <v>9</v>
      </c>
      <c r="D34" s="3" t="s">
        <v>61</v>
      </c>
      <c r="E34" s="4" t="b">
        <v>0</v>
      </c>
      <c r="F34" s="3">
        <v>105</v>
      </c>
      <c r="G34" s="3">
        <v>0</v>
      </c>
      <c r="H34" s="3">
        <v>0</v>
      </c>
      <c r="I34" s="3">
        <v>0</v>
      </c>
      <c r="J34" s="3">
        <v>0</v>
      </c>
      <c r="K34" s="3">
        <v>45</v>
      </c>
      <c r="L34" s="3">
        <v>15</v>
      </c>
      <c r="M34" s="5">
        <v>8.5000000000000006E-2</v>
      </c>
      <c r="N34" s="5">
        <v>0.38</v>
      </c>
    </row>
    <row r="35" spans="1:14">
      <c r="A35" s="3" t="s">
        <v>77</v>
      </c>
      <c r="B35" s="3">
        <v>2026</v>
      </c>
      <c r="C35" s="3">
        <v>10</v>
      </c>
      <c r="D35" s="3" t="s">
        <v>61</v>
      </c>
      <c r="E35" s="4" t="b">
        <v>0</v>
      </c>
      <c r="F35" s="3">
        <v>105</v>
      </c>
      <c r="G35" s="3">
        <v>0</v>
      </c>
      <c r="H35" s="3">
        <v>0</v>
      </c>
      <c r="I35" s="3">
        <v>0</v>
      </c>
      <c r="J35" s="3">
        <v>0</v>
      </c>
      <c r="K35" s="3">
        <v>45</v>
      </c>
      <c r="L35" s="3">
        <v>15</v>
      </c>
      <c r="M35" s="5">
        <v>8.5000000000000006E-2</v>
      </c>
      <c r="N35" s="5">
        <v>0.38</v>
      </c>
    </row>
    <row r="36" spans="1:14">
      <c r="A36" s="3" t="s">
        <v>78</v>
      </c>
      <c r="B36" s="3">
        <v>2026</v>
      </c>
      <c r="C36" s="3">
        <v>11</v>
      </c>
      <c r="D36" s="3" t="s">
        <v>61</v>
      </c>
      <c r="E36" s="4" t="b">
        <v>0</v>
      </c>
      <c r="F36" s="3">
        <v>105</v>
      </c>
      <c r="G36" s="3">
        <v>0</v>
      </c>
      <c r="H36" s="3">
        <v>0</v>
      </c>
      <c r="I36" s="3">
        <v>0</v>
      </c>
      <c r="J36" s="3">
        <v>0</v>
      </c>
      <c r="K36" s="3">
        <v>45</v>
      </c>
      <c r="L36" s="3">
        <v>15</v>
      </c>
      <c r="M36" s="5">
        <v>8.5000000000000006E-2</v>
      </c>
      <c r="N36" s="5">
        <v>0.38</v>
      </c>
    </row>
    <row r="37" spans="1:14">
      <c r="A37" s="3" t="s">
        <v>79</v>
      </c>
      <c r="B37" s="3">
        <v>2026</v>
      </c>
      <c r="C37" s="3">
        <v>12</v>
      </c>
      <c r="D37" s="3" t="s">
        <v>61</v>
      </c>
      <c r="E37" s="4" t="b">
        <v>0</v>
      </c>
      <c r="F37" s="3">
        <v>105</v>
      </c>
      <c r="G37" s="3">
        <v>0</v>
      </c>
      <c r="H37" s="3">
        <v>0</v>
      </c>
      <c r="I37" s="3">
        <v>0</v>
      </c>
      <c r="J37" s="3">
        <v>0</v>
      </c>
      <c r="K37" s="3">
        <v>45</v>
      </c>
      <c r="L37" s="3">
        <v>15</v>
      </c>
      <c r="M37" s="5">
        <v>8.5000000000000006E-2</v>
      </c>
      <c r="N37" s="5">
        <v>0.38</v>
      </c>
    </row>
    <row r="38" spans="1:14">
      <c r="A38" s="3" t="s">
        <v>68</v>
      </c>
      <c r="B38" s="3">
        <v>2026</v>
      </c>
      <c r="C38" s="3">
        <v>1</v>
      </c>
      <c r="D38" s="3" t="s">
        <v>62</v>
      </c>
      <c r="E38" s="4" t="b">
        <v>0</v>
      </c>
      <c r="F38" s="3">
        <v>149</v>
      </c>
      <c r="G38" s="3">
        <v>0</v>
      </c>
      <c r="H38" s="3">
        <v>0</v>
      </c>
      <c r="I38" s="3">
        <v>0</v>
      </c>
      <c r="J38" s="3">
        <v>0</v>
      </c>
      <c r="K38" s="3">
        <v>50</v>
      </c>
      <c r="L38" s="3">
        <v>16</v>
      </c>
      <c r="M38" s="5">
        <v>9.5000000000000001E-2</v>
      </c>
      <c r="N38" s="5">
        <v>0.4</v>
      </c>
    </row>
    <row r="39" spans="1:14">
      <c r="A39" s="3" t="s">
        <v>69</v>
      </c>
      <c r="B39" s="3">
        <v>2026</v>
      </c>
      <c r="C39" s="3">
        <v>2</v>
      </c>
      <c r="D39" s="3" t="s">
        <v>62</v>
      </c>
      <c r="E39" s="4" t="b">
        <v>0</v>
      </c>
      <c r="F39" s="3">
        <v>149</v>
      </c>
      <c r="G39" s="3">
        <v>0</v>
      </c>
      <c r="H39" s="3">
        <v>0</v>
      </c>
      <c r="I39" s="3">
        <v>0</v>
      </c>
      <c r="J39" s="3">
        <v>0</v>
      </c>
      <c r="K39" s="3">
        <v>50</v>
      </c>
      <c r="L39" s="3">
        <v>16</v>
      </c>
      <c r="M39" s="5">
        <v>9.5000000000000001E-2</v>
      </c>
      <c r="N39" s="5">
        <v>0.4</v>
      </c>
    </row>
    <row r="40" spans="1:14">
      <c r="A40" s="3" t="s">
        <v>70</v>
      </c>
      <c r="B40" s="3">
        <v>2026</v>
      </c>
      <c r="C40" s="3">
        <v>3</v>
      </c>
      <c r="D40" s="3" t="s">
        <v>62</v>
      </c>
      <c r="E40" s="4" t="b">
        <v>0</v>
      </c>
      <c r="F40" s="3">
        <v>149</v>
      </c>
      <c r="G40" s="3">
        <v>0</v>
      </c>
      <c r="H40" s="3">
        <v>0</v>
      </c>
      <c r="I40" s="3">
        <v>0</v>
      </c>
      <c r="J40" s="3">
        <v>0</v>
      </c>
      <c r="K40" s="3">
        <v>50</v>
      </c>
      <c r="L40" s="3">
        <v>16</v>
      </c>
      <c r="M40" s="5">
        <v>9.5000000000000001E-2</v>
      </c>
      <c r="N40" s="5">
        <v>0.4</v>
      </c>
    </row>
    <row r="41" spans="1:14">
      <c r="A41" s="3" t="s">
        <v>71</v>
      </c>
      <c r="B41" s="3">
        <v>2026</v>
      </c>
      <c r="C41" s="3">
        <v>4</v>
      </c>
      <c r="D41" s="3" t="s">
        <v>62</v>
      </c>
      <c r="E41" s="4" t="b">
        <v>0</v>
      </c>
      <c r="F41" s="3">
        <v>149</v>
      </c>
      <c r="G41" s="3">
        <v>0</v>
      </c>
      <c r="H41" s="3">
        <v>0</v>
      </c>
      <c r="I41" s="3">
        <v>0</v>
      </c>
      <c r="J41" s="3">
        <v>0</v>
      </c>
      <c r="K41" s="3">
        <v>50</v>
      </c>
      <c r="L41" s="3">
        <v>16</v>
      </c>
      <c r="M41" s="5">
        <v>9.5000000000000001E-2</v>
      </c>
      <c r="N41" s="5">
        <v>0.4</v>
      </c>
    </row>
    <row r="42" spans="1:14">
      <c r="A42" s="3" t="s">
        <v>72</v>
      </c>
      <c r="B42" s="3">
        <v>2026</v>
      </c>
      <c r="C42" s="3">
        <v>5</v>
      </c>
      <c r="D42" s="3" t="s">
        <v>62</v>
      </c>
      <c r="E42" s="4" t="b">
        <v>0</v>
      </c>
      <c r="F42" s="3">
        <v>149</v>
      </c>
      <c r="G42" s="3">
        <v>0</v>
      </c>
      <c r="H42" s="3">
        <v>0</v>
      </c>
      <c r="I42" s="3">
        <v>0</v>
      </c>
      <c r="J42" s="3">
        <v>0</v>
      </c>
      <c r="K42" s="3">
        <v>50</v>
      </c>
      <c r="L42" s="3">
        <v>16</v>
      </c>
      <c r="M42" s="5">
        <v>9.5000000000000001E-2</v>
      </c>
      <c r="N42" s="5">
        <v>0.4</v>
      </c>
    </row>
    <row r="43" spans="1:14">
      <c r="A43" s="3" t="s">
        <v>73</v>
      </c>
      <c r="B43" s="3">
        <v>2026</v>
      </c>
      <c r="C43" s="3">
        <v>6</v>
      </c>
      <c r="D43" s="3" t="s">
        <v>62</v>
      </c>
      <c r="E43" s="4" t="b">
        <v>0</v>
      </c>
      <c r="F43" s="3">
        <v>149</v>
      </c>
      <c r="G43" s="3">
        <v>0</v>
      </c>
      <c r="H43" s="3">
        <v>0</v>
      </c>
      <c r="I43" s="3">
        <v>0</v>
      </c>
      <c r="J43" s="3">
        <v>0</v>
      </c>
      <c r="K43" s="3">
        <v>50</v>
      </c>
      <c r="L43" s="3">
        <v>16</v>
      </c>
      <c r="M43" s="5">
        <v>9.5000000000000001E-2</v>
      </c>
      <c r="N43" s="5">
        <v>0.4</v>
      </c>
    </row>
    <row r="44" spans="1:14">
      <c r="A44" s="3" t="s">
        <v>74</v>
      </c>
      <c r="B44" s="3">
        <v>2026</v>
      </c>
      <c r="C44" s="3">
        <v>7</v>
      </c>
      <c r="D44" s="3" t="s">
        <v>62</v>
      </c>
      <c r="E44" s="4" t="b">
        <v>0</v>
      </c>
      <c r="F44" s="3">
        <v>149</v>
      </c>
      <c r="G44" s="3">
        <v>0</v>
      </c>
      <c r="H44" s="3">
        <v>0</v>
      </c>
      <c r="I44" s="3">
        <v>0</v>
      </c>
      <c r="J44" s="3">
        <v>0</v>
      </c>
      <c r="K44" s="3">
        <v>50</v>
      </c>
      <c r="L44" s="3">
        <v>16</v>
      </c>
      <c r="M44" s="5">
        <v>9.5000000000000001E-2</v>
      </c>
      <c r="N44" s="5">
        <v>0.4</v>
      </c>
    </row>
    <row r="45" spans="1:14">
      <c r="A45" s="3" t="s">
        <v>75</v>
      </c>
      <c r="B45" s="3">
        <v>2026</v>
      </c>
      <c r="C45" s="3">
        <v>8</v>
      </c>
      <c r="D45" s="3" t="s">
        <v>62</v>
      </c>
      <c r="E45" s="4" t="b">
        <v>0</v>
      </c>
      <c r="F45" s="3">
        <v>150</v>
      </c>
      <c r="G45" s="3">
        <v>0</v>
      </c>
      <c r="H45" s="3">
        <v>0</v>
      </c>
      <c r="I45" s="3">
        <v>0</v>
      </c>
      <c r="J45" s="3">
        <v>0</v>
      </c>
      <c r="K45" s="3">
        <v>50</v>
      </c>
      <c r="L45" s="3">
        <v>16</v>
      </c>
      <c r="M45" s="5">
        <v>9.5000000000000001E-2</v>
      </c>
      <c r="N45" s="5">
        <v>0.4</v>
      </c>
    </row>
    <row r="46" spans="1:14">
      <c r="A46" s="3" t="s">
        <v>76</v>
      </c>
      <c r="B46" s="3">
        <v>2026</v>
      </c>
      <c r="C46" s="3">
        <v>9</v>
      </c>
      <c r="D46" s="3" t="s">
        <v>62</v>
      </c>
      <c r="E46" s="4" t="b">
        <v>0</v>
      </c>
      <c r="F46" s="3">
        <v>150</v>
      </c>
      <c r="G46" s="3">
        <v>0</v>
      </c>
      <c r="H46" s="3">
        <v>0</v>
      </c>
      <c r="I46" s="3">
        <v>0</v>
      </c>
      <c r="J46" s="3">
        <v>0</v>
      </c>
      <c r="K46" s="3">
        <v>50</v>
      </c>
      <c r="L46" s="3">
        <v>16</v>
      </c>
      <c r="M46" s="5">
        <v>9.5000000000000001E-2</v>
      </c>
      <c r="N46" s="5">
        <v>0.4</v>
      </c>
    </row>
    <row r="47" spans="1:14">
      <c r="A47" s="3" t="s">
        <v>77</v>
      </c>
      <c r="B47" s="3">
        <v>2026</v>
      </c>
      <c r="C47" s="3">
        <v>10</v>
      </c>
      <c r="D47" s="3" t="s">
        <v>62</v>
      </c>
      <c r="E47" s="4" t="b">
        <v>0</v>
      </c>
      <c r="F47" s="3">
        <v>150</v>
      </c>
      <c r="G47" s="3">
        <v>0</v>
      </c>
      <c r="H47" s="3">
        <v>0</v>
      </c>
      <c r="I47" s="3">
        <v>0</v>
      </c>
      <c r="J47" s="3">
        <v>0</v>
      </c>
      <c r="K47" s="3">
        <v>50</v>
      </c>
      <c r="L47" s="3">
        <v>16</v>
      </c>
      <c r="M47" s="5">
        <v>9.5000000000000001E-2</v>
      </c>
      <c r="N47" s="5">
        <v>0.4</v>
      </c>
    </row>
    <row r="48" spans="1:14">
      <c r="A48" s="3" t="s">
        <v>78</v>
      </c>
      <c r="B48" s="3">
        <v>2026</v>
      </c>
      <c r="C48" s="3">
        <v>11</v>
      </c>
      <c r="D48" s="3" t="s">
        <v>62</v>
      </c>
      <c r="E48" s="4" t="b">
        <v>0</v>
      </c>
      <c r="F48" s="3">
        <v>150</v>
      </c>
      <c r="G48" s="3">
        <v>0</v>
      </c>
      <c r="H48" s="3">
        <v>0</v>
      </c>
      <c r="I48" s="3">
        <v>0</v>
      </c>
      <c r="J48" s="3">
        <v>0</v>
      </c>
      <c r="K48" s="3">
        <v>50</v>
      </c>
      <c r="L48" s="3">
        <v>16</v>
      </c>
      <c r="M48" s="5">
        <v>9.5000000000000001E-2</v>
      </c>
      <c r="N48" s="5">
        <v>0.4</v>
      </c>
    </row>
    <row r="49" spans="1:14">
      <c r="A49" s="3" t="s">
        <v>79</v>
      </c>
      <c r="B49" s="3">
        <v>2026</v>
      </c>
      <c r="C49" s="3">
        <v>12</v>
      </c>
      <c r="D49" s="3" t="s">
        <v>62</v>
      </c>
      <c r="E49" s="4" t="b">
        <v>0</v>
      </c>
      <c r="F49" s="3">
        <v>150</v>
      </c>
      <c r="G49" s="3">
        <v>0</v>
      </c>
      <c r="H49" s="3">
        <v>0</v>
      </c>
      <c r="I49" s="3">
        <v>0</v>
      </c>
      <c r="J49" s="3">
        <v>0</v>
      </c>
      <c r="K49" s="3">
        <v>50</v>
      </c>
      <c r="L49" s="3">
        <v>16</v>
      </c>
      <c r="M49" s="5">
        <v>9.5000000000000001E-2</v>
      </c>
      <c r="N49" s="5">
        <v>0.4</v>
      </c>
    </row>
    <row r="50" spans="1:14">
      <c r="A50" s="3" t="s">
        <v>68</v>
      </c>
      <c r="B50" s="3">
        <v>2026</v>
      </c>
      <c r="C50" s="3">
        <v>1</v>
      </c>
      <c r="D50" s="3" t="s">
        <v>63</v>
      </c>
      <c r="E50" s="4" t="b">
        <v>0</v>
      </c>
      <c r="F50" s="3">
        <v>129</v>
      </c>
      <c r="G50" s="3">
        <v>0</v>
      </c>
      <c r="H50" s="3">
        <v>0</v>
      </c>
      <c r="I50" s="3">
        <v>0</v>
      </c>
      <c r="J50" s="3">
        <v>0</v>
      </c>
      <c r="K50" s="3">
        <v>42</v>
      </c>
      <c r="L50" s="3">
        <v>14</v>
      </c>
      <c r="M50" s="5">
        <v>7.4999999999999997E-2</v>
      </c>
      <c r="N50" s="5">
        <v>0.35</v>
      </c>
    </row>
    <row r="51" spans="1:14">
      <c r="A51" s="3" t="s">
        <v>69</v>
      </c>
      <c r="B51" s="3">
        <v>2026</v>
      </c>
      <c r="C51" s="3">
        <v>2</v>
      </c>
      <c r="D51" s="3" t="s">
        <v>63</v>
      </c>
      <c r="E51" s="4" t="b">
        <v>0</v>
      </c>
      <c r="F51" s="3">
        <v>130</v>
      </c>
      <c r="G51" s="3">
        <v>0</v>
      </c>
      <c r="H51" s="3">
        <v>0</v>
      </c>
      <c r="I51" s="3">
        <v>0</v>
      </c>
      <c r="J51" s="3">
        <v>0</v>
      </c>
      <c r="K51" s="3">
        <v>42</v>
      </c>
      <c r="L51" s="3">
        <v>14</v>
      </c>
      <c r="M51" s="5">
        <v>7.4999999999999997E-2</v>
      </c>
      <c r="N51" s="5">
        <v>0.35</v>
      </c>
    </row>
    <row r="52" spans="1:14">
      <c r="A52" s="3" t="s">
        <v>70</v>
      </c>
      <c r="B52" s="3">
        <v>2026</v>
      </c>
      <c r="C52" s="3">
        <v>3</v>
      </c>
      <c r="D52" s="3" t="s">
        <v>63</v>
      </c>
      <c r="E52" s="4" t="b">
        <v>0</v>
      </c>
      <c r="F52" s="3">
        <v>130</v>
      </c>
      <c r="G52" s="3">
        <v>0</v>
      </c>
      <c r="H52" s="3">
        <v>0</v>
      </c>
      <c r="I52" s="3">
        <v>0</v>
      </c>
      <c r="J52" s="3">
        <v>0</v>
      </c>
      <c r="K52" s="3">
        <v>42</v>
      </c>
      <c r="L52" s="3">
        <v>14</v>
      </c>
      <c r="M52" s="5">
        <v>7.4999999999999997E-2</v>
      </c>
      <c r="N52" s="5">
        <v>0.35</v>
      </c>
    </row>
    <row r="53" spans="1:14">
      <c r="A53" s="3" t="s">
        <v>71</v>
      </c>
      <c r="B53" s="3">
        <v>2026</v>
      </c>
      <c r="C53" s="3">
        <v>4</v>
      </c>
      <c r="D53" s="3" t="s">
        <v>63</v>
      </c>
      <c r="E53" s="4" t="b">
        <v>0</v>
      </c>
      <c r="F53" s="3">
        <v>130</v>
      </c>
      <c r="G53" s="3">
        <v>0</v>
      </c>
      <c r="H53" s="3">
        <v>0</v>
      </c>
      <c r="I53" s="3">
        <v>0</v>
      </c>
      <c r="J53" s="3">
        <v>0</v>
      </c>
      <c r="K53" s="3">
        <v>42</v>
      </c>
      <c r="L53" s="3">
        <v>14</v>
      </c>
      <c r="M53" s="5">
        <v>7.4999999999999997E-2</v>
      </c>
      <c r="N53" s="5">
        <v>0.35</v>
      </c>
    </row>
    <row r="54" spans="1:14">
      <c r="A54" s="3" t="s">
        <v>72</v>
      </c>
      <c r="B54" s="3">
        <v>2026</v>
      </c>
      <c r="C54" s="3">
        <v>5</v>
      </c>
      <c r="D54" s="3" t="s">
        <v>63</v>
      </c>
      <c r="E54" s="4" t="b">
        <v>0</v>
      </c>
      <c r="F54" s="3">
        <v>130</v>
      </c>
      <c r="G54" s="3">
        <v>0</v>
      </c>
      <c r="H54" s="3">
        <v>0</v>
      </c>
      <c r="I54" s="3">
        <v>0</v>
      </c>
      <c r="J54" s="3">
        <v>0</v>
      </c>
      <c r="K54" s="3">
        <v>42</v>
      </c>
      <c r="L54" s="3">
        <v>14</v>
      </c>
      <c r="M54" s="5">
        <v>7.4999999999999997E-2</v>
      </c>
      <c r="N54" s="5">
        <v>0.35</v>
      </c>
    </row>
    <row r="55" spans="1:14">
      <c r="A55" s="3" t="s">
        <v>73</v>
      </c>
      <c r="B55" s="3">
        <v>2026</v>
      </c>
      <c r="C55" s="3">
        <v>6</v>
      </c>
      <c r="D55" s="3" t="s">
        <v>63</v>
      </c>
      <c r="E55" s="4" t="b">
        <v>0</v>
      </c>
      <c r="F55" s="3">
        <v>130</v>
      </c>
      <c r="G55" s="3">
        <v>0</v>
      </c>
      <c r="H55" s="3">
        <v>0</v>
      </c>
      <c r="I55" s="3">
        <v>0</v>
      </c>
      <c r="J55" s="3">
        <v>0</v>
      </c>
      <c r="K55" s="3">
        <v>42</v>
      </c>
      <c r="L55" s="3">
        <v>14</v>
      </c>
      <c r="M55" s="5">
        <v>7.4999999999999997E-2</v>
      </c>
      <c r="N55" s="5">
        <v>0.35</v>
      </c>
    </row>
    <row r="56" spans="1:14">
      <c r="A56" s="3" t="s">
        <v>74</v>
      </c>
      <c r="B56" s="3">
        <v>2026</v>
      </c>
      <c r="C56" s="3">
        <v>7</v>
      </c>
      <c r="D56" s="3" t="s">
        <v>63</v>
      </c>
      <c r="E56" s="4" t="b">
        <v>0</v>
      </c>
      <c r="F56" s="3">
        <v>130</v>
      </c>
      <c r="G56" s="3">
        <v>0</v>
      </c>
      <c r="H56" s="3">
        <v>0</v>
      </c>
      <c r="I56" s="3">
        <v>0</v>
      </c>
      <c r="J56" s="3">
        <v>0</v>
      </c>
      <c r="K56" s="3">
        <v>42</v>
      </c>
      <c r="L56" s="3">
        <v>14</v>
      </c>
      <c r="M56" s="5">
        <v>7.4999999999999997E-2</v>
      </c>
      <c r="N56" s="5">
        <v>0.35</v>
      </c>
    </row>
    <row r="57" spans="1:14">
      <c r="A57" s="3" t="s">
        <v>75</v>
      </c>
      <c r="B57" s="3">
        <v>2026</v>
      </c>
      <c r="C57" s="3">
        <v>8</v>
      </c>
      <c r="D57" s="3" t="s">
        <v>63</v>
      </c>
      <c r="E57" s="4" t="b">
        <v>0</v>
      </c>
      <c r="F57" s="3">
        <v>130</v>
      </c>
      <c r="G57" s="3">
        <v>0</v>
      </c>
      <c r="H57" s="3">
        <v>0</v>
      </c>
      <c r="I57" s="3">
        <v>0</v>
      </c>
      <c r="J57" s="3">
        <v>0</v>
      </c>
      <c r="K57" s="3">
        <v>42</v>
      </c>
      <c r="L57" s="3">
        <v>14</v>
      </c>
      <c r="M57" s="5">
        <v>7.4999999999999997E-2</v>
      </c>
      <c r="N57" s="5">
        <v>0.35</v>
      </c>
    </row>
    <row r="58" spans="1:14">
      <c r="A58" s="3" t="s">
        <v>76</v>
      </c>
      <c r="B58" s="3">
        <v>2026</v>
      </c>
      <c r="C58" s="3">
        <v>9</v>
      </c>
      <c r="D58" s="3" t="s">
        <v>63</v>
      </c>
      <c r="E58" s="4" t="b">
        <v>0</v>
      </c>
      <c r="F58" s="3">
        <v>131</v>
      </c>
      <c r="G58" s="3">
        <v>0</v>
      </c>
      <c r="H58" s="3">
        <v>0</v>
      </c>
      <c r="I58" s="3">
        <v>0</v>
      </c>
      <c r="J58" s="3">
        <v>0</v>
      </c>
      <c r="K58" s="3">
        <v>42</v>
      </c>
      <c r="L58" s="3">
        <v>14</v>
      </c>
      <c r="M58" s="5">
        <v>7.4999999999999997E-2</v>
      </c>
      <c r="N58" s="5">
        <v>0.35</v>
      </c>
    </row>
    <row r="59" spans="1:14">
      <c r="A59" s="3" t="s">
        <v>77</v>
      </c>
      <c r="B59" s="3">
        <v>2026</v>
      </c>
      <c r="C59" s="3">
        <v>10</v>
      </c>
      <c r="D59" s="3" t="s">
        <v>63</v>
      </c>
      <c r="E59" s="4" t="b">
        <v>0</v>
      </c>
      <c r="F59" s="3">
        <v>131</v>
      </c>
      <c r="G59" s="3">
        <v>0</v>
      </c>
      <c r="H59" s="3">
        <v>0</v>
      </c>
      <c r="I59" s="3">
        <v>0</v>
      </c>
      <c r="J59" s="3">
        <v>0</v>
      </c>
      <c r="K59" s="3">
        <v>42</v>
      </c>
      <c r="L59" s="3">
        <v>14</v>
      </c>
      <c r="M59" s="5">
        <v>7.4999999999999997E-2</v>
      </c>
      <c r="N59" s="5">
        <v>0.35</v>
      </c>
    </row>
    <row r="60" spans="1:14">
      <c r="A60" s="3" t="s">
        <v>78</v>
      </c>
      <c r="B60" s="3">
        <v>2026</v>
      </c>
      <c r="C60" s="3">
        <v>11</v>
      </c>
      <c r="D60" s="3" t="s">
        <v>63</v>
      </c>
      <c r="E60" s="4" t="b">
        <v>0</v>
      </c>
      <c r="F60" s="3">
        <v>131</v>
      </c>
      <c r="G60" s="3">
        <v>0</v>
      </c>
      <c r="H60" s="3">
        <v>0</v>
      </c>
      <c r="I60" s="3">
        <v>0</v>
      </c>
      <c r="J60" s="3">
        <v>0</v>
      </c>
      <c r="K60" s="3">
        <v>42</v>
      </c>
      <c r="L60" s="3">
        <v>14</v>
      </c>
      <c r="M60" s="5">
        <v>7.4999999999999997E-2</v>
      </c>
      <c r="N60" s="5">
        <v>0.35</v>
      </c>
    </row>
    <row r="61" spans="1:14">
      <c r="A61" s="3" t="s">
        <v>79</v>
      </c>
      <c r="B61" s="3">
        <v>2026</v>
      </c>
      <c r="C61" s="3">
        <v>12</v>
      </c>
      <c r="D61" s="3" t="s">
        <v>63</v>
      </c>
      <c r="E61" s="4" t="b">
        <v>0</v>
      </c>
      <c r="F61" s="3">
        <v>131</v>
      </c>
      <c r="G61" s="3">
        <v>0</v>
      </c>
      <c r="H61" s="3">
        <v>0</v>
      </c>
      <c r="I61" s="3">
        <v>0</v>
      </c>
      <c r="J61" s="3">
        <v>0</v>
      </c>
      <c r="K61" s="3">
        <v>42</v>
      </c>
      <c r="L61" s="3">
        <v>14</v>
      </c>
      <c r="M61" s="5">
        <v>7.4999999999999997E-2</v>
      </c>
      <c r="N61" s="5">
        <v>0.35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"/>
  <sheetViews>
    <sheetView workbookViewId="0">
      <selection activeCell="H1" sqref="H1:H1048576"/>
    </sheetView>
  </sheetViews>
  <sheetFormatPr defaultRowHeight="14"/>
  <cols>
    <col min="1" max="1" width="25.1640625" customWidth="1"/>
    <col min="2" max="2" width="60.25" customWidth="1"/>
    <col min="6" max="6" width="18.4140625" customWidth="1"/>
    <col min="7" max="7" width="14.9140625" customWidth="1"/>
    <col min="8" max="8" width="24.83203125" bestFit="1" customWidth="1"/>
    <col min="9" max="9" width="15.6640625" bestFit="1" customWidth="1"/>
    <col min="10" max="10" width="10.1640625" bestFit="1" customWidth="1"/>
    <col min="11" max="11" width="17.33203125" bestFit="1" customWidth="1"/>
    <col min="12" max="12" width="16.33203125" bestFit="1" customWidth="1"/>
    <col min="13" max="13" width="22.58203125" bestFit="1" customWidth="1"/>
    <col min="14" max="14" width="24.58203125" bestFit="1" customWidth="1"/>
  </cols>
  <sheetData>
    <row r="1" spans="1:14" ht="21.4" customHeight="1">
      <c r="A1" s="2" t="s">
        <v>82</v>
      </c>
      <c r="B1" s="2" t="s">
        <v>83</v>
      </c>
      <c r="F1" s="1" t="s">
        <v>2</v>
      </c>
      <c r="G1" s="1" t="s">
        <v>3</v>
      </c>
      <c r="H1" s="1" t="s">
        <v>65</v>
      </c>
      <c r="I1" s="1" t="s">
        <v>16</v>
      </c>
      <c r="J1" s="1" t="s">
        <v>14</v>
      </c>
      <c r="K1" s="1" t="s">
        <v>15</v>
      </c>
      <c r="L1" s="1" t="s">
        <v>17</v>
      </c>
      <c r="M1" s="1" t="s">
        <v>80</v>
      </c>
      <c r="N1" s="1" t="s">
        <v>81</v>
      </c>
    </row>
    <row r="2" spans="1:14">
      <c r="A2" s="3" t="s">
        <v>111</v>
      </c>
      <c r="B2" s="3" t="s">
        <v>84</v>
      </c>
      <c r="F2" s="3" t="s">
        <v>24</v>
      </c>
      <c r="G2" s="4" t="b">
        <v>1</v>
      </c>
      <c r="H2" s="3">
        <v>3</v>
      </c>
      <c r="I2" s="3">
        <v>28</v>
      </c>
      <c r="J2" s="3">
        <v>24</v>
      </c>
      <c r="K2" s="3">
        <v>70</v>
      </c>
      <c r="L2" s="3"/>
      <c r="M2" s="5">
        <v>0.105</v>
      </c>
      <c r="N2" s="5">
        <v>0.42</v>
      </c>
    </row>
    <row r="3" spans="1:14">
      <c r="A3" s="3" t="s">
        <v>1</v>
      </c>
      <c r="B3" s="3" t="s">
        <v>85</v>
      </c>
      <c r="F3" s="3" t="s">
        <v>60</v>
      </c>
      <c r="G3" s="4" t="b">
        <v>1</v>
      </c>
      <c r="H3" s="3">
        <v>3</v>
      </c>
      <c r="I3" s="3">
        <v>30</v>
      </c>
      <c r="J3" s="3">
        <v>18</v>
      </c>
      <c r="K3" s="3">
        <v>45</v>
      </c>
      <c r="L3" s="3"/>
      <c r="M3" s="5">
        <v>0.12</v>
      </c>
      <c r="N3" s="5">
        <v>0.46</v>
      </c>
    </row>
    <row r="4" spans="1:14">
      <c r="A4" s="3" t="s">
        <v>0</v>
      </c>
      <c r="B4" s="3" t="s">
        <v>86</v>
      </c>
      <c r="F4" s="3" t="s">
        <v>61</v>
      </c>
      <c r="G4" s="4" t="b">
        <v>0</v>
      </c>
      <c r="H4" s="3">
        <v>0</v>
      </c>
      <c r="I4" s="3">
        <v>45</v>
      </c>
      <c r="J4" s="3">
        <v>0</v>
      </c>
      <c r="K4" s="3">
        <v>0</v>
      </c>
      <c r="L4" s="3">
        <v>15</v>
      </c>
      <c r="M4" s="5">
        <v>8.5000000000000006E-2</v>
      </c>
      <c r="N4" s="5">
        <v>0.38</v>
      </c>
    </row>
    <row r="5" spans="1:14">
      <c r="A5" s="3" t="s">
        <v>2</v>
      </c>
      <c r="B5" s="3" t="s">
        <v>87</v>
      </c>
      <c r="F5" s="3" t="s">
        <v>62</v>
      </c>
      <c r="G5" s="4" t="b">
        <v>0</v>
      </c>
      <c r="H5" s="3">
        <v>0</v>
      </c>
      <c r="I5" s="3">
        <v>50</v>
      </c>
      <c r="J5" s="3">
        <v>0</v>
      </c>
      <c r="K5" s="3">
        <v>0</v>
      </c>
      <c r="L5" s="3">
        <v>16</v>
      </c>
      <c r="M5" s="5">
        <v>9.5000000000000001E-2</v>
      </c>
      <c r="N5" s="5">
        <v>0.4</v>
      </c>
    </row>
    <row r="6" spans="1:14">
      <c r="A6" s="3" t="s">
        <v>3</v>
      </c>
      <c r="B6" s="3" t="s">
        <v>112</v>
      </c>
      <c r="F6" s="3" t="s">
        <v>63</v>
      </c>
      <c r="G6" s="4" t="b">
        <v>0</v>
      </c>
      <c r="H6" s="3">
        <v>0</v>
      </c>
      <c r="I6" s="3">
        <v>42</v>
      </c>
      <c r="J6" s="3">
        <v>0</v>
      </c>
      <c r="K6" s="3">
        <v>0</v>
      </c>
      <c r="L6" s="3">
        <v>14</v>
      </c>
      <c r="M6" s="5">
        <v>7.4999999999999997E-2</v>
      </c>
      <c r="N6" s="5">
        <v>0.35</v>
      </c>
    </row>
    <row r="7" spans="1:14">
      <c r="A7" s="3" t="s">
        <v>4</v>
      </c>
      <c r="B7" s="3" t="s">
        <v>88</v>
      </c>
    </row>
    <row r="8" spans="1:14">
      <c r="A8" s="3" t="s">
        <v>5</v>
      </c>
      <c r="B8" s="3" t="s">
        <v>89</v>
      </c>
    </row>
    <row r="9" spans="1:14">
      <c r="A9" s="3" t="s">
        <v>6</v>
      </c>
      <c r="B9" s="3" t="s">
        <v>90</v>
      </c>
    </row>
    <row r="10" spans="1:14">
      <c r="A10" s="3" t="s">
        <v>7</v>
      </c>
      <c r="B10" s="3" t="s">
        <v>91</v>
      </c>
    </row>
    <row r="11" spans="1:14">
      <c r="A11" s="3" t="s">
        <v>8</v>
      </c>
      <c r="B11" s="3" t="s">
        <v>92</v>
      </c>
    </row>
    <row r="12" spans="1:14">
      <c r="A12" s="3" t="s">
        <v>9</v>
      </c>
      <c r="B12" s="3" t="s">
        <v>93</v>
      </c>
    </row>
    <row r="13" spans="1:14">
      <c r="A13" s="3" t="s">
        <v>10</v>
      </c>
      <c r="B13" s="3" t="s">
        <v>94</v>
      </c>
    </row>
    <row r="14" spans="1:14">
      <c r="A14" s="3" t="s">
        <v>11</v>
      </c>
      <c r="B14" s="3" t="s">
        <v>95</v>
      </c>
    </row>
    <row r="15" spans="1:14">
      <c r="A15" s="3" t="s">
        <v>12</v>
      </c>
      <c r="B15" s="3" t="s">
        <v>96</v>
      </c>
    </row>
    <row r="16" spans="1:14">
      <c r="A16" s="3" t="s">
        <v>13</v>
      </c>
      <c r="B16" s="3" t="s">
        <v>97</v>
      </c>
    </row>
    <row r="17" spans="1:2">
      <c r="A17" s="3" t="s">
        <v>64</v>
      </c>
      <c r="B17" s="3" t="s">
        <v>98</v>
      </c>
    </row>
    <row r="18" spans="1:2">
      <c r="A18" s="3" t="s">
        <v>14</v>
      </c>
      <c r="B18" s="3" t="s">
        <v>99</v>
      </c>
    </row>
    <row r="19" spans="1:2">
      <c r="A19" s="3" t="s">
        <v>15</v>
      </c>
      <c r="B19" s="3" t="s">
        <v>100</v>
      </c>
    </row>
    <row r="20" spans="1:2">
      <c r="A20" s="3" t="s">
        <v>65</v>
      </c>
      <c r="B20" s="3" t="s">
        <v>101</v>
      </c>
    </row>
    <row r="21" spans="1:2">
      <c r="A21" s="3" t="s">
        <v>16</v>
      </c>
      <c r="B21" s="3" t="s">
        <v>102</v>
      </c>
    </row>
    <row r="22" spans="1:2">
      <c r="A22" s="3" t="s">
        <v>17</v>
      </c>
      <c r="B22" s="3" t="s">
        <v>103</v>
      </c>
    </row>
    <row r="23" spans="1:2">
      <c r="A23" s="3" t="s">
        <v>18</v>
      </c>
      <c r="B23" s="3" t="s">
        <v>104</v>
      </c>
    </row>
    <row r="24" spans="1:2">
      <c r="A24" s="3" t="s">
        <v>19</v>
      </c>
      <c r="B24" s="3" t="s">
        <v>105</v>
      </c>
    </row>
    <row r="25" spans="1:2">
      <c r="A25" s="3" t="s">
        <v>66</v>
      </c>
      <c r="B25" s="3" t="s">
        <v>106</v>
      </c>
    </row>
    <row r="26" spans="1:2">
      <c r="A26" s="3" t="s">
        <v>67</v>
      </c>
      <c r="B26" s="3" t="s">
        <v>107</v>
      </c>
    </row>
    <row r="27" spans="1:2">
      <c r="A27" s="3" t="s">
        <v>20</v>
      </c>
      <c r="B27" s="3" t="s">
        <v>108</v>
      </c>
    </row>
    <row r="28" spans="1:2">
      <c r="A28" s="3" t="s">
        <v>21</v>
      </c>
      <c r="B28" s="3" t="s">
        <v>109</v>
      </c>
    </row>
    <row r="29" spans="1:2">
      <c r="A29" s="3" t="s">
        <v>22</v>
      </c>
      <c r="B29" s="3" t="s">
        <v>110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historical_2023_2025</vt:lpstr>
      <vt:lpstr>forecast_2026</vt:lpstr>
      <vt:lpstr>data_description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Dasha Potapova</cp:lastModifiedBy>
  <dcterms:created xsi:type="dcterms:W3CDTF">2026-05-16T18:31:30Z</dcterms:created>
  <dcterms:modified xsi:type="dcterms:W3CDTF">2026-05-17T10:50:32Z</dcterms:modified>
</cp:coreProperties>
</file>